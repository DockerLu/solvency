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charts/chart2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ell\Dropbox\sharedFolder\"/>
    </mc:Choice>
  </mc:AlternateContent>
  <xr:revisionPtr revIDLastSave="0" documentId="13_ncr:1_{8B4BBD16-8DC1-4CE9-94EA-2FBAD9425DEF}" xr6:coauthVersionLast="41" xr6:coauthVersionMax="45" xr10:uidLastSave="{00000000-0000-0000-0000-000000000000}"/>
  <bookViews>
    <workbookView xWindow="-110" yWindow="-110" windowWidth="19420" windowHeight="10420" tabRatio="828" firstSheet="3" activeTab="3" xr2:uid="{00000000-000D-0000-FFFF-FFFF00000000}"/>
  </bookViews>
  <sheets>
    <sheet name="DEVNOTES" sheetId="22" state="veryHidden" r:id="rId1"/>
    <sheet name="LossData" sheetId="36" r:id="rId2"/>
    <sheet name="PivotTable" sheetId="43" state="veryHidden" r:id="rId3"/>
    <sheet name="1-Start" sheetId="6" r:id="rId4"/>
    <sheet name="2-Income Statement" sheetId="29" r:id="rId5"/>
    <sheet name="3-Balance Sheet" sheetId="30" r:id="rId6"/>
    <sheet name="4-Additional Info" sheetId="31" r:id="rId7"/>
    <sheet name="5-Current Financial Ratios" sheetId="32" r:id="rId8"/>
    <sheet name="7 - Enter Additional Data" sheetId="33" r:id="rId9"/>
    <sheet name="8-Output" sheetId="34" r:id="rId10"/>
    <sheet name="9-Graph" sheetId="35" state="veryHidden" r:id="rId11"/>
    <sheet name="Historical" sheetId="25" state="veryHidden" r:id="rId12"/>
    <sheet name="xModel" sheetId="18" state="veryHidden" r:id="rId13"/>
    <sheet name="Setup 1" sheetId="7" state="veryHidden" r:id="rId14"/>
    <sheet name="Setup 2" sheetId="24" state="veryHidden" r:id="rId15"/>
    <sheet name="xScenario Creator" sheetId="26" state="veryHidden" r:id="rId16"/>
    <sheet name="xReserves" sheetId="15" state="veryHidden" r:id="rId17"/>
    <sheet name="xFinancial Ratios" sheetId="17" state="veryHidden" r:id="rId18"/>
    <sheet name="Output" sheetId="27" state="veryHidden" r:id="rId19"/>
    <sheet name="Ratios" sheetId="28" state="veryHidden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a">xModel!$H$91</definedName>
    <definedName name="Addl7_a1">'[1]7 - Enter Additional Data'!$J$56</definedName>
    <definedName name="Addl7_a10">'[1]7 - Enter Additional Data'!$J$65</definedName>
    <definedName name="Addl7_a11">'[1]7 - Enter Additional Data'!$J$66</definedName>
    <definedName name="Addl7_a12">'[1]7 - Enter Additional Data'!$J$67</definedName>
    <definedName name="Addl7_a13">'[1]7 - Enter Additional Data'!$J$68</definedName>
    <definedName name="Addl7_a14">'[1]7 - Enter Additional Data'!$J$69</definedName>
    <definedName name="Addl7_a15">'[1]7 - Enter Additional Data'!$J$70</definedName>
    <definedName name="Addl7_a16">'[1]7 - Enter Additional Data'!$J$71</definedName>
    <definedName name="Addl7_a17">'[1]7 - Enter Additional Data'!$J$72</definedName>
    <definedName name="Addl7_a18">'[1]7 - Enter Additional Data'!$J$73</definedName>
    <definedName name="Addl7_a19">'[1]7 - Enter Additional Data'!$J$74</definedName>
    <definedName name="Addl7_a2">'[1]7 - Enter Additional Data'!$J$57</definedName>
    <definedName name="Addl7_a20">'[1]7 - Enter Additional Data'!$J$75</definedName>
    <definedName name="Addl7_a21">'[1]7 - Enter Additional Data'!$J$76</definedName>
    <definedName name="Addl7_a3">'[1]7 - Enter Additional Data'!$J$58</definedName>
    <definedName name="Addl7_a4">'[1]7 - Enter Additional Data'!$J$59</definedName>
    <definedName name="Addl7_a5">'[1]7 - Enter Additional Data'!$J$60</definedName>
    <definedName name="Addl7_a6">'[1]7 - Enter Additional Data'!$J$61</definedName>
    <definedName name="Addl7_a7">'[1]7 - Enter Additional Data'!$J$62</definedName>
    <definedName name="Addl7_a8">'[1]7 - Enter Additional Data'!$J$63</definedName>
    <definedName name="Addl7_a9">'[1]7 - Enter Additional Data'!$J$64</definedName>
    <definedName name="Addl7_b1">'[1]7 - Enter Additional Data'!$L$56</definedName>
    <definedName name="Addl7_b10">'[1]7 - Enter Additional Data'!$L$65</definedName>
    <definedName name="Addl7_b11">'[1]7 - Enter Additional Data'!$L$66</definedName>
    <definedName name="Addl7_b12">'[1]7 - Enter Additional Data'!$L$67</definedName>
    <definedName name="Addl7_b13">'[1]7 - Enter Additional Data'!$L$68</definedName>
    <definedName name="Addl7_b14">'[1]7 - Enter Additional Data'!$L$69</definedName>
    <definedName name="Addl7_b15">'[1]7 - Enter Additional Data'!$L$70</definedName>
    <definedName name="Addl7_b16">'[1]7 - Enter Additional Data'!$L$71</definedName>
    <definedName name="Addl7_b17">'[1]7 - Enter Additional Data'!$L$72</definedName>
    <definedName name="Addl7_b18">'[1]7 - Enter Additional Data'!$L$73</definedName>
    <definedName name="Addl7_b19">'[1]7 - Enter Additional Data'!$L$74</definedName>
    <definedName name="Addl7_b2">'[1]7 - Enter Additional Data'!$L$57</definedName>
    <definedName name="Addl7_b20">'[1]7 - Enter Additional Data'!$L$75</definedName>
    <definedName name="Addl7_b21">'[1]7 - Enter Additional Data'!$L$76</definedName>
    <definedName name="Addl7_b3">'[1]7 - Enter Additional Data'!$L$58</definedName>
    <definedName name="Addl7_b4">'[1]7 - Enter Additional Data'!$L$59</definedName>
    <definedName name="Addl7_b5">'[1]7 - Enter Additional Data'!$L$60</definedName>
    <definedName name="Addl7_b6">'[1]7 - Enter Additional Data'!$L$61</definedName>
    <definedName name="Addl7_b7">'[1]7 - Enter Additional Data'!$L$62</definedName>
    <definedName name="Addl7_b8">'[1]7 - Enter Additional Data'!$L$63</definedName>
    <definedName name="Addl7_b9">'[1]7 - Enter Additional Data'!$L$64</definedName>
    <definedName name="Addl7_Y1_L10">'[1]7 - Enter Additional Data'!$J$29</definedName>
    <definedName name="Addl7_Y1_L11">'[1]7 - Enter Additional Data'!$J$30</definedName>
    <definedName name="Addl7_Y1_L12">'[1]7 - Enter Additional Data'!$J$31</definedName>
    <definedName name="Addl7_Y1_L13">'[1]7 - Enter Additional Data'!$J$32</definedName>
    <definedName name="Addl7_Y1_L14">'[1]7 - Enter Additional Data'!$J$33</definedName>
    <definedName name="Addl7_Y1_L15">'[1]7 - Enter Additional Data'!$J$34</definedName>
    <definedName name="Addl7_Y1_L16">'[1]7 - Enter Additional Data'!$J$39</definedName>
    <definedName name="Addl7_Y1_L17">'[1]7 - Enter Additional Data'!$J$40</definedName>
    <definedName name="Addl7_Y1_L18">'[1]7 - Enter Additional Data'!$J$45</definedName>
    <definedName name="Addl7_Y1_L19">'[1]7 - Enter Additional Data'!$J$50</definedName>
    <definedName name="Addl7_Y1_L5">'[1]7 - Enter Additional Data'!$J$19</definedName>
    <definedName name="Addl7_Y1_L6">'[1]7 - Enter Additional Data'!$J$20</definedName>
    <definedName name="Addl7_Y1_L7">'[1]7 - Enter Additional Data'!$J$21</definedName>
    <definedName name="Addl7_Y1_L8">'[1]7 - Enter Additional Data'!$J$22</definedName>
    <definedName name="Addl7_Y1_L9">'[1]7 - Enter Additional Data'!$J$27</definedName>
    <definedName name="Addl7_Y2_L10">'[1]7 - Enter Additional Data'!$K$29</definedName>
    <definedName name="Addl7_Y2_L11">'[1]7 - Enter Additional Data'!$K$30</definedName>
    <definedName name="Addl7_Y2_L12">'[1]7 - Enter Additional Data'!$K$31</definedName>
    <definedName name="Addl7_Y2_L13">'[1]7 - Enter Additional Data'!$K$32</definedName>
    <definedName name="Addl7_Y2_L14">'[1]7 - Enter Additional Data'!$K$33</definedName>
    <definedName name="Addl7_Y2_L15">'[1]7 - Enter Additional Data'!$K$34</definedName>
    <definedName name="Addl7_Y2_L16">'[1]7 - Enter Additional Data'!$K$39</definedName>
    <definedName name="Addl7_Y2_L17">'[1]7 - Enter Additional Data'!$K$40</definedName>
    <definedName name="Addl7_Y2_L18">'[1]7 - Enter Additional Data'!$K$45</definedName>
    <definedName name="Addl7_Y2_L19">'[1]7 - Enter Additional Data'!$K$50</definedName>
    <definedName name="Addl7_Y2_L5">'[1]7 - Enter Additional Data'!$K$19</definedName>
    <definedName name="Addl7_Y2_L6">'[1]7 - Enter Additional Data'!$K$20</definedName>
    <definedName name="Addl7_Y2_L7">'[1]7 - Enter Additional Data'!$K$21</definedName>
    <definedName name="Addl7_Y2_L8">'[1]7 - Enter Additional Data'!$K$22</definedName>
    <definedName name="Addl7_Y2_L9">'[1]7 - Enter Additional Data'!$K$27</definedName>
    <definedName name="Addl7_Y3_L10">'[1]7 - Enter Additional Data'!$L$29</definedName>
    <definedName name="Addl7_Y3_L11">'[1]7 - Enter Additional Data'!$L$30</definedName>
    <definedName name="Addl7_Y3_L12">'[1]7 - Enter Additional Data'!$L$31</definedName>
    <definedName name="Addl7_Y3_L13">'[1]7 - Enter Additional Data'!$L$32</definedName>
    <definedName name="Addl7_Y3_L14">'[1]7 - Enter Additional Data'!$L$33</definedName>
    <definedName name="Addl7_Y3_L15">'[1]7 - Enter Additional Data'!$L$34</definedName>
    <definedName name="Addl7_Y3_L16">'[1]7 - Enter Additional Data'!$L$39</definedName>
    <definedName name="Addl7_Y3_L17">'[1]7 - Enter Additional Data'!$L$40</definedName>
    <definedName name="Addl7_Y3_L18">'[1]7 - Enter Additional Data'!$L$45</definedName>
    <definedName name="Addl7_Y3_L19">'[1]7 - Enter Additional Data'!$L$50</definedName>
    <definedName name="Addl7_Y3_L5">'[1]7 - Enter Additional Data'!$L$19</definedName>
    <definedName name="Addl7_Y3_L6">'[1]7 - Enter Additional Data'!$L$20</definedName>
    <definedName name="Addl7_Y3_L7">'[1]7 - Enter Additional Data'!$L$21</definedName>
    <definedName name="Addl7_Y3_L8">'[1]7 - Enter Additional Data'!$L$22</definedName>
    <definedName name="Addl7_Y3_L9">'[1]7 - Enter Additional Data'!$L$27</definedName>
    <definedName name="Addl7_Y4_L10">'[1]7 - Enter Additional Data'!$M$29</definedName>
    <definedName name="Addl7_Y4_L11">'[1]7 - Enter Additional Data'!$M$30</definedName>
    <definedName name="Addl7_Y4_L12">'[1]7 - Enter Additional Data'!$M$31</definedName>
    <definedName name="Addl7_Y4_L13">'[1]7 - Enter Additional Data'!$M$32</definedName>
    <definedName name="Addl7_Y4_L14">'[1]7 - Enter Additional Data'!$M$33</definedName>
    <definedName name="Addl7_Y4_L15">'[1]7 - Enter Additional Data'!$M$34</definedName>
    <definedName name="Addl7_Y4_L16">'[1]7 - Enter Additional Data'!$M$39</definedName>
    <definedName name="Addl7_Y4_L17">'[1]7 - Enter Additional Data'!$M$40</definedName>
    <definedName name="Addl7_Y4_L18">'[1]7 - Enter Additional Data'!$M$45</definedName>
    <definedName name="Addl7_Y4_L19">'[1]7 - Enter Additional Data'!$M$50</definedName>
    <definedName name="Addl7_Y4_L5">'[1]7 - Enter Additional Data'!$M$19</definedName>
    <definedName name="Addl7_Y4_L6">'[1]7 - Enter Additional Data'!$M$20</definedName>
    <definedName name="Addl7_Y4_L7">'[1]7 - Enter Additional Data'!$M$21</definedName>
    <definedName name="Addl7_Y4_L8">'[1]7 - Enter Additional Data'!$M$22</definedName>
    <definedName name="Addl7_Y4_L9">'[1]7 - Enter Additional Data'!$M$27</definedName>
    <definedName name="Addl7_Y5_L10">'[1]7 - Enter Additional Data'!$N$29</definedName>
    <definedName name="Addl7_Y5_L11">'[1]7 - Enter Additional Data'!$N$30</definedName>
    <definedName name="Addl7_Y5_L12">'[1]7 - Enter Additional Data'!$N$31</definedName>
    <definedName name="Addl7_Y5_L13">'[1]7 - Enter Additional Data'!$N$32</definedName>
    <definedName name="Addl7_Y5_L14">'[1]7 - Enter Additional Data'!$N$33</definedName>
    <definedName name="Addl7_Y5_L15">'[1]7 - Enter Additional Data'!$N$34</definedName>
    <definedName name="Addl7_Y5_L16">'[1]7 - Enter Additional Data'!$N$39</definedName>
    <definedName name="Addl7_Y5_L17">'[1]7 - Enter Additional Data'!$N$40</definedName>
    <definedName name="Addl7_Y5_L18">'[1]7 - Enter Additional Data'!$N$45</definedName>
    <definedName name="Addl7_Y5_L19">'[1]7 - Enter Additional Data'!$N$50</definedName>
    <definedName name="Addl7_Y5_L5">'[1]7 - Enter Additional Data'!$N$19</definedName>
    <definedName name="Addl7_Y5_L6">'[1]7 - Enter Additional Data'!$N$20</definedName>
    <definedName name="Addl7_Y5_L7">'[1]7 - Enter Additional Data'!$N$21</definedName>
    <definedName name="Addl7_Y5_L8">'[1]7 - Enter Additional Data'!$N$22</definedName>
    <definedName name="Addl7_Y5_L9">'[1]7 - Enter Additional Data'!$N$27</definedName>
    <definedName name="AnnualRevenue">[2]C!$E$12:$H$12</definedName>
    <definedName name="btnSave">#REF!</definedName>
    <definedName name="City">[2]Control!$B$16</definedName>
    <definedName name="Curr5_a20">'[1]5 - Current Financial Ratios'!$I$28</definedName>
    <definedName name="Curr5_b20">'[1]5 - Current Financial Ratios'!$K$28</definedName>
    <definedName name="CurrentEntryYear">[3]CONTROL!$B$2</definedName>
    <definedName name="CurrentPolicy">[3]CONTROL!#REF!</definedName>
    <definedName name="CurrentReportYear">'[3]CONTROL CALC'!$A$2</definedName>
    <definedName name="CurrentYear">[4]CONTROL!$A$65536</definedName>
    <definedName name="DataNums">[5]!DataNums</definedName>
    <definedName name="DataText">[5]!DataText</definedName>
    <definedName name="DataYr">[5]!DataYr</definedName>
    <definedName name="DescQtr">[5]!DescQtr</definedName>
    <definedName name="DescText">[5]!DescText</definedName>
    <definedName name="DescYr">[5]!DescYr</definedName>
    <definedName name="E_X">Historical!$AD$34</definedName>
    <definedName name="E_X_invest">'Setup 2'!$I$58</definedName>
    <definedName name="E_X_invest_Yr1">'Setup 2'!$I$58</definedName>
    <definedName name="E_X_invest_Yr2">'Setup 2'!$J$58</definedName>
    <definedName name="E_X_invest_Yr3">'Setup 2'!$K$58</definedName>
    <definedName name="E_X_invest_Yr4">'Setup 2'!$L$58</definedName>
    <definedName name="E_X_invest_Yr5">'Setup 2'!$M$58</definedName>
    <definedName name="Firm">#REF!</definedName>
    <definedName name="First_Qtr_Pd">[2]Control!$B$7</definedName>
    <definedName name="First_Yr_Pd">[2]Control!$B$10</definedName>
    <definedName name="FromDate">#REF!</definedName>
    <definedName name="FromYr">#REF!</definedName>
    <definedName name="High_Loss_Lookup">[1]xScratch!$B$8:$B$11</definedName>
    <definedName name="HighLoss_Scenario">'[1]6 - Define Simulation'!$M$24</definedName>
    <definedName name="initial2013">'Setup 2'!$L$115</definedName>
    <definedName name="initial2014">'Setup 2'!$N$115</definedName>
    <definedName name="initial2015">'Setup 2'!$P$115</definedName>
    <definedName name="initial2016">'Setup 2'!$R$115</definedName>
    <definedName name="initial2017">'Setup 2'!$T$115</definedName>
    <definedName name="invest2013">'Setup 2'!$I$62</definedName>
    <definedName name="invest2014">'Setup 2'!$J$62</definedName>
    <definedName name="invest2015">'Setup 2'!$K$62</definedName>
    <definedName name="invest2016">'Setup 2'!$L$62</definedName>
    <definedName name="invest2017">'Setup 2'!$M$62</definedName>
    <definedName name="L1_Y1">[1]xScratch!$E$5</definedName>
    <definedName name="L1_Y2">[1]xScratch!$F$5</definedName>
    <definedName name="L1_Y3">[1]xScratch!$G$5</definedName>
    <definedName name="L1_Y4">[1]xScratch!$H$5</definedName>
    <definedName name="L1_Y5">[1]xScratch!$I$5</definedName>
    <definedName name="L2_Y1">[1]xScratch!$E$6</definedName>
    <definedName name="L2_Y2">[1]xScratch!$F$6</definedName>
    <definedName name="L2_Y3">[1]xScratch!$G$6</definedName>
    <definedName name="L2_Y4">[1]xScratch!$H$6</definedName>
    <definedName name="L2_Y5">[1]xScratch!$I$6</definedName>
    <definedName name="L3_Y1">[1]xScratch!$E$7</definedName>
    <definedName name="L3_Y2">[1]xScratch!$F$7</definedName>
    <definedName name="L3_Y4">[1]xScratch!$H$7</definedName>
    <definedName name="L3_Y5">[1]xScratch!$I$7</definedName>
    <definedName name="L4_Y1">[1]xScratch!$E$8</definedName>
    <definedName name="L4_Y2">[1]xScratch!$F$8</definedName>
    <definedName name="L4_Y3">[1]xScratch!$G$8</definedName>
    <definedName name="L4_Y4">[1]xScratch!$H$8</definedName>
    <definedName name="L4_Y5">[1]xScratch!$I$8</definedName>
    <definedName name="L5_Y1">[1]xScratch!$E$9</definedName>
    <definedName name="L5_Y2">[1]xScratch!$F$9</definedName>
    <definedName name="L5_Y3">[1]xScratch!$G$9</definedName>
    <definedName name="L5_Y4">[1]xScratch!$H$9</definedName>
    <definedName name="L5_Y5">[1]xScratch!$I$9</definedName>
    <definedName name="Last_Qtr_Pd">[2]Control!$B$8</definedName>
    <definedName name="Last_Yr_Pd">[2]Control!$B$11</definedName>
    <definedName name="LastQtrIndex">[2]Control!$B$12</definedName>
    <definedName name="LastYrIndex">[2]Control!$B$13</definedName>
    <definedName name="logrand">xModel!$H$84</definedName>
    <definedName name="loss_retention">Historical!$AD$33</definedName>
    <definedName name="LossData_A2">LossData!$A$2</definedName>
    <definedName name="mu">xModel!$I$84</definedName>
    <definedName name="mu_invest">xModel!$I$85</definedName>
    <definedName name="Name">[5]!Name</definedName>
    <definedName name="Net_Premium_Yr1">'Setup 2'!$L$114</definedName>
    <definedName name="Net_Premium_Yr2">'Setup 2'!$N$114</definedName>
    <definedName name="Net_Premium_Yr3">'Setup 2'!$P$114</definedName>
    <definedName name="Net_Premium_Yr4">'Setup 2'!$R$114</definedName>
    <definedName name="Net_Premium_Yr5">'Setup 2'!$T$114</definedName>
    <definedName name="NetPremium_Yr1">'Setup 2'!$M$114</definedName>
    <definedName name="NetPremium_Yr2">'Setup 2'!$O$114</definedName>
    <definedName name="NetPremium_Yr3">'Setup 2'!$Q$114</definedName>
    <definedName name="NetPremium_Yr4">'Setup 2'!$S$114</definedName>
    <definedName name="NetPremium_Yr5">'Setup 2'!$U$114</definedName>
    <definedName name="NormLog">xModel!$M$85</definedName>
    <definedName name="normrand">xModel!$H$85</definedName>
    <definedName name="Number_Qtrs">[2]Control!$B$9</definedName>
    <definedName name="Payroll1">xModel!$I$66</definedName>
    <definedName name="Payroll2">xModel!$K$66</definedName>
    <definedName name="Payroll3">xModel!$M$66</definedName>
    <definedName name="Payroll4">xModel!$O$66</definedName>
    <definedName name="Payroll5">xModel!$Q$66</definedName>
    <definedName name="Pre_ScenarioA">'[1]6 - Define Simulation'!$J$25</definedName>
    <definedName name="Pre_ScenarioB">'[1]6 - Define Simulation'!$J$26</definedName>
    <definedName name="Predetermined_Scenario_Lookup">[1]xScratch!$B$13:$B$20</definedName>
    <definedName name="_xlnm.Print_Area" localSheetId="18">Output!$B$2:$AG$1101</definedName>
    <definedName name="PrintFinancials">Output!$B$4:$AG$1101</definedName>
    <definedName name="Quarter">[5]!Quarter</definedName>
    <definedName name="Quarters">[2]Xaxis!$C$4:$I$4</definedName>
    <definedName name="RandLog">xModel!$M$84</definedName>
    <definedName name="Randnorm">xModel!$M$85</definedName>
    <definedName name="Reserves_Lookup">[1]xReserves!$K$7:$Q$7</definedName>
    <definedName name="retention">'xScenario Creator'!$C$7</definedName>
    <definedName name="retention_">'xScenario Creator'!$C$7</definedName>
    <definedName name="retention_5years">'1-Start'!$C$16</definedName>
    <definedName name="Retention_Level1">'[1]6 - Define Simulation'!$J$14</definedName>
    <definedName name="Retention_Level2">'[1]6 - Define Simulation'!$J$15</definedName>
    <definedName name="Retention_Level3">'[1]6 - Define Simulation'!$J$16</definedName>
    <definedName name="Retention_Level4">'[1]6 - Define Simulation'!$J$17</definedName>
    <definedName name="Retention_Lookup">[1]xReserves!$K$7:$Q$7</definedName>
    <definedName name="retention_years">'1-Start'!$B$37</definedName>
    <definedName name="retention2">'xScenario Creator'!$C$7</definedName>
    <definedName name="Rt100_Yr1">'8-Output'!$H$41</definedName>
    <definedName name="Rt100_Yr2">'8-Output'!$J$41</definedName>
    <definedName name="Rt100_Yr3">'8-Output'!$L$41</definedName>
    <definedName name="Rt100_Yr4">'8-Output'!$N$41</definedName>
    <definedName name="Rt100_Yr5">'8-Output'!$P$41</definedName>
    <definedName name="Rt1000_Yr1">'8-Output'!$H$44</definedName>
    <definedName name="Rt1000_Yr2">'8-Output'!$J$44</definedName>
    <definedName name="Rt1000_Yr3">'8-Output'!$L$44</definedName>
    <definedName name="Rt1000_Yr4">'8-Output'!$N$44</definedName>
    <definedName name="Rt1000_Yr5">'8-Output'!$P$44</definedName>
    <definedName name="Rt25_Yr1">'8-Output'!$H$39</definedName>
    <definedName name="Rt25_Yr2">'8-Output'!$J$39</definedName>
    <definedName name="Rt25_Yr3">'8-Output'!$L$39</definedName>
    <definedName name="Rt25_Yr4">'8-Output'!$N$39</definedName>
    <definedName name="Rt25_Yr5">'8-Output'!$P$39</definedName>
    <definedName name="Rt250_Yr1">'8-Output'!$H$42</definedName>
    <definedName name="Rt250_Yr2">'8-Output'!$J$42</definedName>
    <definedName name="Rt250_Yr3">'8-Output'!$L$42</definedName>
    <definedName name="Rt250_Yr4">'8-Output'!$N$42</definedName>
    <definedName name="Rt250_Yr5">'8-Output'!$P$42</definedName>
    <definedName name="Rt50_Yr1">'8-Output'!$H$40</definedName>
    <definedName name="Rt50_Yr2">'8-Output'!$J$40</definedName>
    <definedName name="Rt50_Yr3">'8-Output'!$L$40</definedName>
    <definedName name="Rt50_Yr4">'8-Output'!$N$40</definedName>
    <definedName name="Rt50_Yr5">'8-Output'!$P$40</definedName>
    <definedName name="Rt500_Yr1">'8-Output'!$H$43</definedName>
    <definedName name="Rt500_Yr2">'8-Output'!$J$43</definedName>
    <definedName name="Rt500_Yr3">'8-Output'!$L$43</definedName>
    <definedName name="Rt500_Yr4">'8-Output'!$N$43</definedName>
    <definedName name="Rt500_Yr5">'8-Output'!$P$43</definedName>
    <definedName name="Rtumlimit_Yr1">'8-Output'!$H$45</definedName>
    <definedName name="Rtumlimit_Yr2">'8-Output'!$J$45</definedName>
    <definedName name="Rtumlimit_Yr3">'8-Output'!$L$45</definedName>
    <definedName name="Rtumlimit_Yr4">'8-Output'!$N$45</definedName>
    <definedName name="Rtumlimit_Yr5">'8-Output'!$P$45</definedName>
    <definedName name="Rtunlimit_Yr1">'8-Output'!$H$45</definedName>
    <definedName name="ScaleLabel">[2]Control!$C$2:$C$4</definedName>
    <definedName name="ScaleMultiplier">[2]Control!$B$2:$B$4</definedName>
    <definedName name="ScaleType">[2]C!$B$4</definedName>
    <definedName name="Scenario_List">[1]xScratch!$B$22:$B$41</definedName>
    <definedName name="sigma">xModel!$K$84</definedName>
    <definedName name="sigma_invest">xModel!$K$85</definedName>
    <definedName name="StartPro">#REF!</definedName>
    <definedName name="State">[2]Control!$B$17</definedName>
    <definedName name="Table">'[3]CONTROL CALC'!#REF!</definedName>
    <definedName name="Table1">[2]B!$C$23:$I$33</definedName>
    <definedName name="Table2">[2]A!$C$17:$K$28</definedName>
    <definedName name="test">'[6]CONTROL CALC'!$A$2</definedName>
    <definedName name="ToDate">#REF!</definedName>
    <definedName name="total2013">'Setup 2'!$M$115</definedName>
    <definedName name="total2014">'Setup 2'!$O$115</definedName>
    <definedName name="total2015">'Setup 2'!$Q$115</definedName>
    <definedName name="total2016">'Setup 2'!$S$115</definedName>
    <definedName name="total2017">'Setup 2'!$U$115</definedName>
    <definedName name="ToYr">#REF!</definedName>
    <definedName name="Unlimited_ornot">'Setup 2'!$O$25</definedName>
    <definedName name="var_X">Historical!$AD$35</definedName>
    <definedName name="var_X_invest">'Setup 2'!$I$59</definedName>
    <definedName name="var_X_invest_Yr1">'Setup 2'!$I$59</definedName>
    <definedName name="var_X_invest_Yr2">'Setup 2'!$J$59</definedName>
    <definedName name="var_X_invest_Yr3">'Setup 2'!$K$59</definedName>
    <definedName name="var_X_invest_Yr4">'Setup 2'!$L$59</definedName>
    <definedName name="var_X_invest_Yr5">'Setup 2'!$M$59</definedName>
    <definedName name="xModelPrintArea">xModel!$B$2:$AG$57</definedName>
    <definedName name="xx">'1-Start'!$D$16</definedName>
    <definedName name="Y_1">'xScenario Creator'!$E$7</definedName>
    <definedName name="Y_2">'xScenario Creator'!$F$7</definedName>
    <definedName name="Y_3">'xScenario Creator'!$G$7</definedName>
    <definedName name="Y_4">'xScenario Creator'!$H$7</definedName>
    <definedName name="Y_5">'xScenario Creator'!$I$7</definedName>
    <definedName name="YA">'xScenario Creator'!$E$7</definedName>
    <definedName name="YB">'xScenario Creator'!$F$7</definedName>
    <definedName name="YC">'xScenario Creator'!$G$7</definedName>
    <definedName name="YD">'xScenario Creator'!$H$7</definedName>
    <definedName name="YE">'xScenario Creator'!$I$7</definedName>
    <definedName name="Year">[5]!Year</definedName>
    <definedName name="Year_End">[5]!Year_End</definedName>
    <definedName name="Yr1_Additional_L1">'[1]4 - Additional Info'!$I$7</definedName>
    <definedName name="Yr1_Additional_L4">'[1]4 - Additional Info'!$I$20</definedName>
    <definedName name="Yr1_Balance_L1">'[1]3 - Balance Sheet'!$I$7</definedName>
    <definedName name="Yr1_Balance_L2">'[1]3 - Balance Sheet'!$I$8</definedName>
    <definedName name="Yr1_Balance_L5">'[1]3 - Balance Sheet'!$I$12</definedName>
    <definedName name="Yr1_Balance_L6">'[1]3 - Balance Sheet'!$I$15</definedName>
    <definedName name="Yr1_Balance_L8">'[1]3 - Balance Sheet'!$I$17</definedName>
    <definedName name="Yr1_Balance_L9">'[1]3 - Balance Sheet'!$I$19</definedName>
    <definedName name="Yr1_Income_L1">'[1] 2 - Income Statement '!$I$7</definedName>
    <definedName name="Yr1_Income_L16">'[1] 2 - Income Statement '!$I$29</definedName>
    <definedName name="Yr1_Income_L17">'[1] 2 - Income Statement '!$I$31</definedName>
    <definedName name="Yr1_Income_L18">'[1] 2 - Income Statement '!$I$34</definedName>
    <definedName name="Yr1_Income_L19">'[1] 2 - Income Statement '!$I$35</definedName>
    <definedName name="Yr1_Income_L20">'[1] 2 - Income Statement '!$I$36</definedName>
    <definedName name="Yr1_Income_L22">'[1] 2 - Income Statement '!$I$40</definedName>
    <definedName name="Yr1_Income_L23">'[1] 2 - Income Statement '!$I$42</definedName>
    <definedName name="Yr1_Income_L24">'[1] 2 - Income Statement '!$I$44</definedName>
    <definedName name="Yr1_Income_L5">'[1] 2 - Income Statement '!$I$12</definedName>
    <definedName name="Yr1_Income_L6">'[1] 2 - Income Statement '!$I$17</definedName>
    <definedName name="Yr1_Income_L8">'[1] 2 - Income Statement '!$I$19</definedName>
    <definedName name="Yr2_Additional_L1">'[1]4 - Additional Info'!$K$7</definedName>
    <definedName name="Yr2_Additional_L4">'[1]4 - Additional Info'!$K$20</definedName>
    <definedName name="Yr2_Additional_L7">'[1]4 - Additional Info'!$K$27</definedName>
    <definedName name="Yr2_Balance_L1">'[1]3 - Balance Sheet'!$K$7</definedName>
    <definedName name="Yr2_Balance_L2">'[1]3 - Balance Sheet'!$K$8</definedName>
    <definedName name="Yr2_Balance_L3">'[1]3 - Balance Sheet'!$K$9</definedName>
    <definedName name="Yr2_Balance_L4">'[1]3 - Balance Sheet'!$K$11</definedName>
    <definedName name="Yr2_Balance_L5">'[1]3 - Balance Sheet'!$K$12</definedName>
    <definedName name="Yr2_Balance_L6">'[1]3 - Balance Sheet'!$K$15</definedName>
    <definedName name="Yr2_Balance_L7">'[1]3 - Balance Sheet'!$K$16</definedName>
    <definedName name="Yr2_Balance_L8">'[1]3 - Balance Sheet'!$K$17</definedName>
    <definedName name="Yr2_Balance_L9">'[1]3 - Balance Sheet'!$K$19</definedName>
    <definedName name="Yr2_Income_L1">'[1] 2 - Income Statement '!$K$7</definedName>
    <definedName name="Yr2_Income_L10">'[1] 2 - Income Statement '!$K$23</definedName>
    <definedName name="Yr2_Income_L11">'[1] 2 - Income Statement '!$K$24</definedName>
    <definedName name="Yr2_Income_L12">'[1] 2 - Income Statement '!$K$25</definedName>
    <definedName name="Yr2_Income_L13">'[1] 2 - Income Statement '!$K$26</definedName>
    <definedName name="Yr2_Income_L14">'[1] 2 - Income Statement '!$K$27</definedName>
    <definedName name="Yr2_Income_L15">'[1] 2 - Income Statement '!$K$28</definedName>
    <definedName name="Yr2_Income_L16">'[1] 2 - Income Statement '!$K$29</definedName>
    <definedName name="Yr2_Income_L17">'[1] 2 - Income Statement '!$K$31</definedName>
    <definedName name="Yr2_Income_L18">'[1] 2 - Income Statement '!$K$34</definedName>
    <definedName name="Yr2_Income_L19">'[1] 2 - Income Statement '!$K$35</definedName>
    <definedName name="Yr2_Income_L20">'[1] 2 - Income Statement '!$K$36</definedName>
    <definedName name="Yr2_Income_L22">'[1] 2 - Income Statement '!$K$40</definedName>
    <definedName name="Yr2_Income_L23">'[1] 2 - Income Statement '!$K$42</definedName>
    <definedName name="Yr2_Income_L24">'[1] 2 - Income Statement '!$K$44</definedName>
    <definedName name="Yr2_Income_L5">'[1] 2 - Income Statement '!$K$12</definedName>
    <definedName name="Yr2_Income_L6">'[1] 2 - Income Statement '!$K$17</definedName>
    <definedName name="Yr2_Income_L8">'[1] 2 - Income Statement '!$K$19</definedName>
    <definedName name="YZ">'xScenario Creator'!$E$7</definedName>
  </definedNames>
  <calcPr calcId="191029"/>
  <pivotCaches>
    <pivotCache cacheId="0" r:id="rId2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35" l="1"/>
  <c r="B1" i="34"/>
  <c r="B1" i="33"/>
  <c r="B1" i="32"/>
  <c r="B1" i="31"/>
  <c r="B1" i="30"/>
  <c r="B1" i="29"/>
  <c r="B1" i="6"/>
  <c r="P38" i="34" l="1"/>
  <c r="N38" i="34"/>
  <c r="L38" i="34"/>
  <c r="J38" i="34"/>
  <c r="H38" i="34"/>
  <c r="J80" i="24"/>
  <c r="K80" i="24"/>
  <c r="L80" i="24"/>
  <c r="M80" i="24"/>
  <c r="I80" i="24"/>
  <c r="J75" i="24"/>
  <c r="K75" i="24"/>
  <c r="L75" i="24"/>
  <c r="M75" i="24"/>
  <c r="I75" i="24"/>
  <c r="J70" i="24"/>
  <c r="K70" i="24"/>
  <c r="L70" i="24"/>
  <c r="M70" i="24"/>
  <c r="I70" i="24"/>
  <c r="J65" i="24"/>
  <c r="K65" i="24"/>
  <c r="L65" i="24"/>
  <c r="M65" i="24"/>
  <c r="I65" i="24"/>
  <c r="I59" i="24"/>
  <c r="J59" i="24"/>
  <c r="K59" i="24"/>
  <c r="L59" i="24"/>
  <c r="M59" i="24"/>
  <c r="I60" i="24"/>
  <c r="J60" i="24"/>
  <c r="K60" i="24"/>
  <c r="L60" i="24"/>
  <c r="M60" i="24"/>
  <c r="J58" i="24"/>
  <c r="K58" i="24"/>
  <c r="L58" i="24"/>
  <c r="M58" i="24"/>
  <c r="I58" i="24"/>
  <c r="I49" i="24"/>
  <c r="J49" i="24"/>
  <c r="K49" i="24"/>
  <c r="L49" i="24"/>
  <c r="M49" i="24"/>
  <c r="I50" i="24"/>
  <c r="J50" i="24"/>
  <c r="K50" i="24"/>
  <c r="L50" i="24"/>
  <c r="M50" i="24"/>
  <c r="I51" i="24"/>
  <c r="J51" i="24"/>
  <c r="K51" i="24"/>
  <c r="L51" i="24"/>
  <c r="M51" i="24"/>
  <c r="I52" i="24"/>
  <c r="J52" i="24"/>
  <c r="K52" i="24"/>
  <c r="L52" i="24"/>
  <c r="M52" i="24"/>
  <c r="I53" i="24"/>
  <c r="J53" i="24"/>
  <c r="K53" i="24"/>
  <c r="L53" i="24"/>
  <c r="M53" i="24"/>
  <c r="J48" i="24"/>
  <c r="K48" i="24"/>
  <c r="L48" i="24"/>
  <c r="M48" i="24"/>
  <c r="I48" i="24"/>
  <c r="J46" i="24"/>
  <c r="K46" i="24"/>
  <c r="L46" i="24"/>
  <c r="M46" i="24"/>
  <c r="I46" i="24"/>
  <c r="J38" i="24"/>
  <c r="K38" i="24"/>
  <c r="L38" i="24"/>
  <c r="M38" i="24"/>
  <c r="J39" i="24"/>
  <c r="K39" i="24"/>
  <c r="L39" i="24"/>
  <c r="M39" i="24"/>
  <c r="J40" i="24"/>
  <c r="K40" i="24"/>
  <c r="L40" i="24"/>
  <c r="M40" i="24"/>
  <c r="J41" i="24"/>
  <c r="K41" i="24"/>
  <c r="L41" i="24"/>
  <c r="M41" i="24"/>
  <c r="I39" i="24"/>
  <c r="I40" i="24"/>
  <c r="I41" i="24"/>
  <c r="I38" i="24"/>
  <c r="AD26" i="25" l="1"/>
  <c r="J36" i="24"/>
  <c r="K36" i="24"/>
  <c r="L36" i="24"/>
  <c r="M36" i="24"/>
  <c r="I36" i="24"/>
  <c r="AD25" i="25"/>
  <c r="AD10" i="25"/>
  <c r="AD9" i="25"/>
  <c r="AB26" i="25"/>
  <c r="AB25" i="25"/>
  <c r="AB16" i="25"/>
  <c r="AB17" i="25"/>
  <c r="AB18" i="25"/>
  <c r="AB19" i="25"/>
  <c r="AB20" i="25"/>
  <c r="AB21" i="25"/>
  <c r="AB22" i="25"/>
  <c r="AB15" i="25"/>
  <c r="AB10" i="25"/>
  <c r="AB9" i="25"/>
  <c r="R25" i="25"/>
  <c r="T16" i="25"/>
  <c r="T15" i="25"/>
  <c r="R16" i="25"/>
  <c r="R15" i="25"/>
  <c r="T10" i="25"/>
  <c r="T11" i="25"/>
  <c r="T9" i="25"/>
  <c r="R11" i="25"/>
  <c r="R10" i="25"/>
  <c r="R9" i="25"/>
  <c r="J59" i="25"/>
  <c r="H59" i="25"/>
  <c r="J57" i="25"/>
  <c r="H57" i="25"/>
  <c r="J51" i="25"/>
  <c r="H51" i="25"/>
  <c r="J46" i="25"/>
  <c r="J45" i="25"/>
  <c r="H46" i="25"/>
  <c r="H45" i="25"/>
  <c r="J33" i="25"/>
  <c r="J34" i="25"/>
  <c r="J35" i="25"/>
  <c r="J36" i="25"/>
  <c r="J37" i="25"/>
  <c r="J32" i="25"/>
  <c r="H33" i="25"/>
  <c r="H34" i="25"/>
  <c r="H35" i="25"/>
  <c r="H36" i="25"/>
  <c r="H37" i="25"/>
  <c r="H32" i="25"/>
  <c r="J24" i="25"/>
  <c r="H24" i="25"/>
  <c r="J21" i="25"/>
  <c r="H21" i="25"/>
  <c r="J15" i="25"/>
  <c r="J16" i="25"/>
  <c r="J14" i="25"/>
  <c r="H15" i="25"/>
  <c r="H16" i="25"/>
  <c r="H14" i="25"/>
  <c r="J10" i="25"/>
  <c r="H10" i="25"/>
  <c r="H9" i="25"/>
  <c r="I8" i="33"/>
  <c r="C7" i="26"/>
  <c r="N11" i="18" l="1"/>
  <c r="P11" i="18"/>
  <c r="J12" i="18"/>
  <c r="L12" i="18"/>
  <c r="N12" i="18"/>
  <c r="P12" i="18"/>
  <c r="J13" i="18"/>
  <c r="L13" i="18"/>
  <c r="N13" i="18"/>
  <c r="P13" i="18"/>
  <c r="J14" i="18"/>
  <c r="L14" i="18"/>
  <c r="N14" i="18"/>
  <c r="P14" i="18"/>
  <c r="I18" i="30" l="1"/>
  <c r="T25" i="25" s="1"/>
  <c r="G17" i="30"/>
  <c r="R24" i="25" s="1"/>
  <c r="R28" i="25" s="1"/>
  <c r="AD35" i="25" l="1"/>
  <c r="AD33" i="25"/>
  <c r="I33" i="34" l="1"/>
  <c r="K33" i="34"/>
  <c r="M33" i="34"/>
  <c r="O33" i="34"/>
  <c r="I34" i="34"/>
  <c r="J34" i="34"/>
  <c r="K34" i="34"/>
  <c r="L34" i="34"/>
  <c r="M34" i="34"/>
  <c r="N34" i="34"/>
  <c r="O34" i="34"/>
  <c r="P34" i="34"/>
  <c r="H34" i="34"/>
  <c r="O84" i="18"/>
  <c r="M84" i="18" s="1"/>
  <c r="E9" i="35"/>
  <c r="G9" i="35" s="1"/>
  <c r="I9" i="35" s="1"/>
  <c r="C15" i="35" s="1"/>
  <c r="E15" i="35" s="1"/>
  <c r="G15" i="35" s="1"/>
  <c r="I15" i="35" s="1"/>
  <c r="C9" i="35"/>
  <c r="I8" i="34"/>
  <c r="K8" i="34"/>
  <c r="M8" i="34"/>
  <c r="O8" i="34"/>
  <c r="I9" i="34"/>
  <c r="K9" i="34"/>
  <c r="M9" i="34"/>
  <c r="O9" i="34"/>
  <c r="I10" i="34"/>
  <c r="K10" i="34"/>
  <c r="M10" i="34"/>
  <c r="O10" i="34"/>
  <c r="I11" i="34"/>
  <c r="K11" i="34"/>
  <c r="M11" i="34"/>
  <c r="O11" i="34"/>
  <c r="I12" i="34"/>
  <c r="K12" i="34"/>
  <c r="M12" i="34"/>
  <c r="O12" i="34"/>
  <c r="I13" i="34"/>
  <c r="K13" i="34"/>
  <c r="M13" i="34"/>
  <c r="O13" i="34"/>
  <c r="I14" i="34"/>
  <c r="K14" i="34"/>
  <c r="M14" i="34"/>
  <c r="O14" i="34"/>
  <c r="I15" i="34"/>
  <c r="K15" i="34"/>
  <c r="M15" i="34"/>
  <c r="O15" i="34"/>
  <c r="I16" i="34"/>
  <c r="K16" i="34"/>
  <c r="M16" i="34"/>
  <c r="O16" i="34"/>
  <c r="I17" i="34"/>
  <c r="K17" i="34"/>
  <c r="M17" i="34"/>
  <c r="O17" i="34"/>
  <c r="I18" i="34"/>
  <c r="K18" i="34"/>
  <c r="M18" i="34"/>
  <c r="O18" i="34"/>
  <c r="I19" i="34"/>
  <c r="K19" i="34"/>
  <c r="M19" i="34"/>
  <c r="O19" i="34"/>
  <c r="I20" i="34"/>
  <c r="K20" i="34"/>
  <c r="M20" i="34"/>
  <c r="O20" i="34"/>
  <c r="I21" i="34"/>
  <c r="K21" i="34"/>
  <c r="M21" i="34"/>
  <c r="O21" i="34"/>
  <c r="I22" i="34"/>
  <c r="K22" i="34"/>
  <c r="M22" i="34"/>
  <c r="O22" i="34"/>
  <c r="I23" i="34"/>
  <c r="K23" i="34"/>
  <c r="M23" i="34"/>
  <c r="O23" i="34"/>
  <c r="I24" i="34"/>
  <c r="K24" i="34"/>
  <c r="M24" i="34"/>
  <c r="O24" i="34"/>
  <c r="I25" i="34"/>
  <c r="K25" i="34"/>
  <c r="M25" i="34"/>
  <c r="O25" i="34"/>
  <c r="I26" i="34"/>
  <c r="K26" i="34"/>
  <c r="M26" i="34"/>
  <c r="O26" i="34"/>
  <c r="I27" i="34"/>
  <c r="K27" i="34"/>
  <c r="M27" i="34"/>
  <c r="O27" i="34"/>
  <c r="I28" i="34"/>
  <c r="K28" i="34"/>
  <c r="M28" i="34"/>
  <c r="O28" i="34"/>
  <c r="I29" i="34"/>
  <c r="K29" i="34"/>
  <c r="M29" i="34"/>
  <c r="O29" i="34"/>
  <c r="I30" i="34"/>
  <c r="K30" i="34"/>
  <c r="M30" i="34"/>
  <c r="O30" i="34"/>
  <c r="I31" i="34"/>
  <c r="K31" i="34"/>
  <c r="M31" i="34"/>
  <c r="O31" i="34"/>
  <c r="I32" i="34"/>
  <c r="K32" i="34"/>
  <c r="M32" i="34"/>
  <c r="O32" i="34"/>
  <c r="I7" i="34"/>
  <c r="K7" i="34"/>
  <c r="M7" i="34"/>
  <c r="O7" i="34"/>
  <c r="C21" i="35" l="1"/>
  <c r="E21" i="35" s="1"/>
  <c r="G21" i="35" s="1"/>
  <c r="I21" i="35" s="1"/>
  <c r="C27" i="35" s="1"/>
  <c r="E27" i="35" s="1"/>
  <c r="G27" i="35" s="1"/>
  <c r="I27" i="35" s="1"/>
  <c r="C33" i="35" s="1"/>
  <c r="E33" i="35" s="1"/>
  <c r="G33" i="35" s="1"/>
  <c r="I33" i="35" s="1"/>
  <c r="C39" i="35" s="1"/>
  <c r="E39" i="35" s="1"/>
  <c r="G39" i="35" s="1"/>
  <c r="I39" i="35" s="1"/>
  <c r="C44" i="35" s="1"/>
  <c r="E44" i="35" s="1"/>
  <c r="G44" i="35" s="1"/>
  <c r="I44" i="35" s="1"/>
  <c r="I13" i="31"/>
  <c r="I15" i="31"/>
  <c r="I17" i="31"/>
  <c r="I18" i="33" l="1"/>
  <c r="I30" i="33" l="1"/>
  <c r="J18" i="33"/>
  <c r="K18" i="33" s="1"/>
  <c r="L18" i="33" s="1"/>
  <c r="M18" i="33" s="1"/>
  <c r="J8" i="33"/>
  <c r="K8" i="33" s="1"/>
  <c r="L8" i="33" s="1"/>
  <c r="M8" i="33" s="1"/>
  <c r="J30" i="33" l="1"/>
  <c r="K30" i="33" s="1"/>
  <c r="L30" i="33" s="1"/>
  <c r="M30" i="33" s="1"/>
  <c r="I42" i="33"/>
  <c r="I37" i="33"/>
  <c r="J37" i="33" s="1"/>
  <c r="K37" i="33" s="1"/>
  <c r="L37" i="33" s="1"/>
  <c r="M37" i="33" s="1"/>
  <c r="I47" i="33" l="1"/>
  <c r="J42" i="33"/>
  <c r="K42" i="33" s="1"/>
  <c r="L42" i="33" s="1"/>
  <c r="M42" i="33" s="1"/>
  <c r="I52" i="33" l="1"/>
  <c r="J52" i="33" s="1"/>
  <c r="K52" i="33" s="1"/>
  <c r="L52" i="33" s="1"/>
  <c r="M52" i="33" s="1"/>
  <c r="J47" i="33"/>
  <c r="K47" i="33" s="1"/>
  <c r="L47" i="33" s="1"/>
  <c r="M47" i="33" s="1"/>
  <c r="G11" i="32" l="1"/>
  <c r="G12" i="32"/>
  <c r="G13" i="32"/>
  <c r="G14" i="32"/>
  <c r="G22" i="31"/>
  <c r="I10" i="31"/>
  <c r="AD14" i="25"/>
  <c r="G12" i="30"/>
  <c r="R19" i="25"/>
  <c r="R30" i="25" s="1"/>
  <c r="H39" i="25"/>
  <c r="H19" i="25"/>
  <c r="AD16" i="25" s="1"/>
  <c r="I27" i="31" l="1"/>
  <c r="C27" i="31"/>
  <c r="X33" i="25"/>
  <c r="C29" i="31"/>
  <c r="X35" i="25"/>
  <c r="C28" i="31"/>
  <c r="X34" i="25"/>
  <c r="I29" i="31"/>
  <c r="I9" i="31"/>
  <c r="AD12" i="25" s="1"/>
  <c r="G9" i="31"/>
  <c r="AB12" i="25" s="1"/>
  <c r="I17" i="30"/>
  <c r="I12" i="30"/>
  <c r="J41" i="29"/>
  <c r="H41" i="29"/>
  <c r="I18" i="31" s="1"/>
  <c r="J32" i="29"/>
  <c r="H32" i="29"/>
  <c r="I16" i="31" s="1"/>
  <c r="J18" i="29"/>
  <c r="H18" i="29"/>
  <c r="H12" i="29"/>
  <c r="J7" i="29"/>
  <c r="J9" i="25" l="1"/>
  <c r="I22" i="31"/>
  <c r="I19" i="30"/>
  <c r="I21" i="30" s="1"/>
  <c r="T24" i="25"/>
  <c r="T28" i="25" s="1"/>
  <c r="H20" i="29"/>
  <c r="I14" i="31" s="1"/>
  <c r="H25" i="25"/>
  <c r="H27" i="25" s="1"/>
  <c r="AD18" i="25" s="1"/>
  <c r="J20" i="29"/>
  <c r="J25" i="25"/>
  <c r="G10" i="31"/>
  <c r="I11" i="31" s="1"/>
  <c r="I12" i="31"/>
  <c r="G19" i="30"/>
  <c r="G21" i="30" s="1"/>
  <c r="J12" i="29"/>
  <c r="H22" i="29" l="1"/>
  <c r="H34" i="29" s="1"/>
  <c r="H48" i="29" s="1"/>
  <c r="H54" i="29" s="1"/>
  <c r="J22" i="29"/>
  <c r="J34" i="29" s="1"/>
  <c r="J48" i="29" s="1"/>
  <c r="J54" i="29" s="1"/>
  <c r="H79" i="18"/>
  <c r="M85" i="18" l="1"/>
  <c r="AN17" i="18" l="1"/>
  <c r="AN15" i="18"/>
  <c r="AD21" i="25"/>
  <c r="AD19" i="25"/>
  <c r="AN13" i="18"/>
  <c r="R80" i="25" l="1"/>
  <c r="R83" i="25"/>
  <c r="H71" i="18" l="1"/>
  <c r="I17" i="24" l="1"/>
  <c r="J17" i="24" l="1"/>
  <c r="M17" i="24"/>
  <c r="L17" i="24"/>
  <c r="K17" i="24"/>
  <c r="I18" i="24" l="1"/>
  <c r="I9" i="15"/>
  <c r="K18" i="24" l="1"/>
  <c r="I20" i="24"/>
  <c r="J18" i="24"/>
  <c r="M18" i="24"/>
  <c r="L18" i="24"/>
  <c r="I19" i="24"/>
  <c r="I14" i="15"/>
  <c r="I22" i="24" l="1"/>
  <c r="I21" i="24"/>
  <c r="I23" i="24" s="1"/>
  <c r="I24" i="24" s="1"/>
  <c r="L20" i="24"/>
  <c r="L21" i="24" s="1"/>
  <c r="K20" i="24"/>
  <c r="K21" i="24" s="1"/>
  <c r="M20" i="24"/>
  <c r="M21" i="24" s="1"/>
  <c r="J20" i="24"/>
  <c r="J21" i="24" s="1"/>
  <c r="I23" i="15"/>
  <c r="I22" i="15"/>
  <c r="I21" i="15"/>
  <c r="AD17" i="25"/>
  <c r="R69" i="25"/>
  <c r="R70" i="25" s="1"/>
  <c r="I25" i="24" l="1"/>
  <c r="I26" i="24" s="1"/>
  <c r="J69" i="25"/>
  <c r="T60" i="25" s="1"/>
  <c r="I30" i="32" s="1"/>
  <c r="H69" i="25"/>
  <c r="R60" i="25" s="1"/>
  <c r="G30" i="32" s="1"/>
  <c r="F14" i="26" l="1"/>
  <c r="G14" i="26"/>
  <c r="H14" i="26"/>
  <c r="I14" i="26"/>
  <c r="F15" i="26"/>
  <c r="G15" i="26"/>
  <c r="H15" i="26"/>
  <c r="I15" i="26"/>
  <c r="F16" i="26"/>
  <c r="G16" i="26"/>
  <c r="H16" i="26"/>
  <c r="I16" i="26"/>
  <c r="F17" i="26"/>
  <c r="G17" i="26"/>
  <c r="H17" i="26"/>
  <c r="I17" i="26"/>
  <c r="F18" i="26"/>
  <c r="G18" i="26"/>
  <c r="H18" i="26"/>
  <c r="I18" i="26"/>
  <c r="E15" i="26"/>
  <c r="E16" i="26"/>
  <c r="E17" i="26"/>
  <c r="E18" i="26"/>
  <c r="I67" i="18" l="1"/>
  <c r="I44" i="18"/>
  <c r="I66" i="18"/>
  <c r="I10" i="18" s="1"/>
  <c r="I37" i="24" s="1"/>
  <c r="AN10" i="18"/>
  <c r="AP11" i="18" s="1"/>
  <c r="I31" i="18"/>
  <c r="K31" i="18" s="1"/>
  <c r="I32" i="18"/>
  <c r="K32" i="18" s="1"/>
  <c r="M32" i="18" s="1"/>
  <c r="O32" i="18" s="1"/>
  <c r="Q32" i="18" s="1"/>
  <c r="I33" i="18"/>
  <c r="K33" i="18" s="1"/>
  <c r="M33" i="18" s="1"/>
  <c r="O33" i="18" s="1"/>
  <c r="Q33" i="18" s="1"/>
  <c r="I34" i="18"/>
  <c r="I35" i="18"/>
  <c r="K35" i="18" s="1"/>
  <c r="M35" i="18" s="1"/>
  <c r="O35" i="18" s="1"/>
  <c r="Q35" i="18" s="1"/>
  <c r="I36" i="18"/>
  <c r="K36" i="18" s="1"/>
  <c r="M36" i="18" s="1"/>
  <c r="O36" i="18" s="1"/>
  <c r="Q36" i="18" s="1"/>
  <c r="Y13" i="18"/>
  <c r="AA13" i="18" s="1"/>
  <c r="AC13" i="18" s="1"/>
  <c r="AE13" i="18" s="1"/>
  <c r="AG13" i="18" s="1"/>
  <c r="K67" i="18"/>
  <c r="H72" i="18"/>
  <c r="M67" i="18"/>
  <c r="H73" i="18"/>
  <c r="O67" i="18"/>
  <c r="H74" i="18"/>
  <c r="Q67" i="18"/>
  <c r="Q75" i="18" s="1"/>
  <c r="H75" i="18"/>
  <c r="Y15" i="18"/>
  <c r="AA15" i="18" s="1"/>
  <c r="AC15" i="18" s="1"/>
  <c r="AE15" i="18" s="1"/>
  <c r="AG15" i="18" s="1"/>
  <c r="Y23" i="18"/>
  <c r="T19" i="25"/>
  <c r="I7" i="15"/>
  <c r="H9" i="17"/>
  <c r="H147" i="17"/>
  <c r="B2" i="18"/>
  <c r="I35" i="24"/>
  <c r="I45" i="24" s="1"/>
  <c r="J27" i="25"/>
  <c r="AB7" i="25"/>
  <c r="AG4" i="18"/>
  <c r="AG30" i="18" s="1"/>
  <c r="Q4" i="18"/>
  <c r="Y8" i="18"/>
  <c r="AA8" i="18" s="1"/>
  <c r="T7" i="25"/>
  <c r="T35" i="25" s="1"/>
  <c r="R7" i="25"/>
  <c r="R35" i="25" s="1"/>
  <c r="G61" i="15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L32" i="26"/>
  <c r="L33" i="26"/>
  <c r="L14" i="26"/>
  <c r="E20" i="26"/>
  <c r="E25" i="26" s="1"/>
  <c r="F20" i="26"/>
  <c r="H20" i="26"/>
  <c r="F21" i="26"/>
  <c r="G21" i="26"/>
  <c r="H21" i="26"/>
  <c r="F22" i="26"/>
  <c r="F27" i="26" s="1"/>
  <c r="H22" i="26"/>
  <c r="H27" i="26" s="1"/>
  <c r="F23" i="26"/>
  <c r="G23" i="26"/>
  <c r="H19" i="26"/>
  <c r="H24" i="26" s="1"/>
  <c r="E14" i="26"/>
  <c r="E19" i="26" s="1"/>
  <c r="E24" i="26" s="1"/>
  <c r="E29" i="26" s="1"/>
  <c r="H23" i="26"/>
  <c r="H28" i="26" s="1"/>
  <c r="I22" i="26"/>
  <c r="I27" i="26" s="1"/>
  <c r="I32" i="26" s="1"/>
  <c r="G22" i="26"/>
  <c r="G27" i="26" s="1"/>
  <c r="G32" i="26" s="1"/>
  <c r="E22" i="26"/>
  <c r="E27" i="26" s="1"/>
  <c r="E32" i="26" s="1"/>
  <c r="I20" i="26"/>
  <c r="I25" i="26" s="1"/>
  <c r="I30" i="26" s="1"/>
  <c r="G20" i="26"/>
  <c r="G25" i="26" s="1"/>
  <c r="G30" i="26" s="1"/>
  <c r="I19" i="26"/>
  <c r="I23" i="26"/>
  <c r="I28" i="26" s="1"/>
  <c r="I33" i="26" s="1"/>
  <c r="E23" i="26"/>
  <c r="E28" i="26" s="1"/>
  <c r="E33" i="26" s="1"/>
  <c r="I21" i="26"/>
  <c r="I26" i="26" s="1"/>
  <c r="I31" i="26" s="1"/>
  <c r="E21" i="26"/>
  <c r="E26" i="26" s="1"/>
  <c r="P19" i="15"/>
  <c r="O19" i="15"/>
  <c r="N19" i="15"/>
  <c r="M19" i="15"/>
  <c r="L19" i="15"/>
  <c r="K19" i="15"/>
  <c r="AB28" i="25"/>
  <c r="J179" i="17"/>
  <c r="J162" i="17"/>
  <c r="J151" i="17"/>
  <c r="J143" i="17"/>
  <c r="J135" i="17"/>
  <c r="J127" i="17"/>
  <c r="J118" i="17"/>
  <c r="J110" i="17"/>
  <c r="J102" i="17"/>
  <c r="J94" i="17"/>
  <c r="J86" i="17"/>
  <c r="J77" i="17"/>
  <c r="J69" i="17"/>
  <c r="J61" i="17"/>
  <c r="J53" i="17"/>
  <c r="J45" i="17"/>
  <c r="J37" i="17"/>
  <c r="J29" i="17"/>
  <c r="H179" i="17"/>
  <c r="H162" i="17"/>
  <c r="H151" i="17"/>
  <c r="H143" i="17"/>
  <c r="H135" i="17"/>
  <c r="H127" i="17"/>
  <c r="H118" i="17"/>
  <c r="H110" i="17"/>
  <c r="H102" i="17"/>
  <c r="H94" i="17"/>
  <c r="H86" i="17"/>
  <c r="H77" i="17"/>
  <c r="H69" i="17"/>
  <c r="H61" i="17"/>
  <c r="H53" i="17"/>
  <c r="H45" i="17"/>
  <c r="H37" i="17"/>
  <c r="H29" i="17"/>
  <c r="J21" i="17"/>
  <c r="H21" i="17"/>
  <c r="J13" i="17"/>
  <c r="H13" i="17"/>
  <c r="J168" i="17"/>
  <c r="H168" i="17"/>
  <c r="J65" i="17"/>
  <c r="H65" i="17"/>
  <c r="R40" i="25"/>
  <c r="G10" i="32" s="1"/>
  <c r="J114" i="17"/>
  <c r="H159" i="17"/>
  <c r="J48" i="25"/>
  <c r="H48" i="25"/>
  <c r="J39" i="25"/>
  <c r="H107" i="17"/>
  <c r="M1" i="25"/>
  <c r="B1" i="25"/>
  <c r="U52" i="15"/>
  <c r="U51" i="15"/>
  <c r="S54" i="15"/>
  <c r="B1" i="7"/>
  <c r="I11" i="24"/>
  <c r="J11" i="24" s="1"/>
  <c r="K11" i="24" s="1"/>
  <c r="L11" i="24" s="1"/>
  <c r="M11" i="24" s="1"/>
  <c r="B2" i="24"/>
  <c r="J91" i="17"/>
  <c r="H91" i="17"/>
  <c r="J83" i="17"/>
  <c r="J82" i="17"/>
  <c r="J81" i="17"/>
  <c r="J73" i="17"/>
  <c r="H73" i="17"/>
  <c r="C50" i="17"/>
  <c r="C49" i="17"/>
  <c r="C42" i="17"/>
  <c r="C41" i="17"/>
  <c r="J34" i="17"/>
  <c r="I34" i="17"/>
  <c r="H34" i="17"/>
  <c r="J33" i="17"/>
  <c r="I33" i="17"/>
  <c r="H33" i="17"/>
  <c r="M27" i="17"/>
  <c r="M26" i="17"/>
  <c r="I26" i="17"/>
  <c r="M25" i="17"/>
  <c r="J25" i="17"/>
  <c r="I25" i="17"/>
  <c r="H25" i="17"/>
  <c r="M24" i="17"/>
  <c r="M23" i="17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8" i="17"/>
  <c r="M7" i="17"/>
  <c r="P6" i="17"/>
  <c r="N6" i="17"/>
  <c r="B2" i="17"/>
  <c r="I8" i="18"/>
  <c r="S2" i="18"/>
  <c r="D29" i="26"/>
  <c r="D30" i="26" s="1"/>
  <c r="D24" i="26"/>
  <c r="K24" i="26" s="1"/>
  <c r="J24" i="26" s="1"/>
  <c r="D19" i="26"/>
  <c r="D20" i="26" s="1"/>
  <c r="D14" i="26"/>
  <c r="D15" i="26" s="1"/>
  <c r="D16" i="26" s="1"/>
  <c r="H114" i="17"/>
  <c r="J159" i="17"/>
  <c r="H132" i="17"/>
  <c r="T40" i="25"/>
  <c r="I10" i="32" s="1"/>
  <c r="L54" i="15"/>
  <c r="N54" i="15"/>
  <c r="P54" i="15"/>
  <c r="R54" i="15"/>
  <c r="T54" i="15"/>
  <c r="K55" i="15"/>
  <c r="K64" i="15" s="1"/>
  <c r="M55" i="15"/>
  <c r="O55" i="15"/>
  <c r="Q55" i="15"/>
  <c r="S55" i="15"/>
  <c r="M56" i="15"/>
  <c r="O56" i="15"/>
  <c r="Q56" i="15"/>
  <c r="S56" i="15"/>
  <c r="U56" i="15"/>
  <c r="M57" i="15"/>
  <c r="O57" i="15"/>
  <c r="Q57" i="15"/>
  <c r="S57" i="15"/>
  <c r="U57" i="15"/>
  <c r="O58" i="15"/>
  <c r="Q58" i="15"/>
  <c r="S58" i="15"/>
  <c r="U58" i="15"/>
  <c r="W58" i="15"/>
  <c r="O59" i="15"/>
  <c r="O68" i="15" s="1"/>
  <c r="P68" i="15" s="1"/>
  <c r="Q59" i="15"/>
  <c r="S59" i="15"/>
  <c r="U59" i="15"/>
  <c r="W59" i="15"/>
  <c r="K54" i="15"/>
  <c r="M54" i="15"/>
  <c r="O54" i="15"/>
  <c r="Q54" i="15"/>
  <c r="L55" i="15"/>
  <c r="N55" i="15"/>
  <c r="P55" i="15"/>
  <c r="R55" i="15"/>
  <c r="T55" i="15"/>
  <c r="L56" i="15"/>
  <c r="L65" i="15" s="1"/>
  <c r="N56" i="15"/>
  <c r="P56" i="15"/>
  <c r="R56" i="15"/>
  <c r="T56" i="15"/>
  <c r="N57" i="15"/>
  <c r="P57" i="15"/>
  <c r="R57" i="15"/>
  <c r="T57" i="15"/>
  <c r="V57" i="15"/>
  <c r="N58" i="15"/>
  <c r="N61" i="15" s="1"/>
  <c r="P58" i="15"/>
  <c r="R58" i="15"/>
  <c r="T58" i="15"/>
  <c r="V58" i="15"/>
  <c r="P59" i="15"/>
  <c r="R59" i="15"/>
  <c r="T59" i="15"/>
  <c r="V59" i="15"/>
  <c r="X59" i="15"/>
  <c r="X61" i="15" s="1"/>
  <c r="M65" i="15" l="1"/>
  <c r="N65" i="15" s="1"/>
  <c r="O65" i="15" s="1"/>
  <c r="P65" i="15" s="1"/>
  <c r="Q65" i="15" s="1"/>
  <c r="R65" i="15" s="1"/>
  <c r="S65" i="15" s="1"/>
  <c r="T65" i="15" s="1"/>
  <c r="U65" i="15" s="1"/>
  <c r="J147" i="17"/>
  <c r="T30" i="25"/>
  <c r="I72" i="18"/>
  <c r="I14" i="18"/>
  <c r="I12" i="18"/>
  <c r="I13" i="18"/>
  <c r="H157" i="17"/>
  <c r="R79" i="25"/>
  <c r="R81" i="25" s="1"/>
  <c r="H82" i="17"/>
  <c r="H131" i="17"/>
  <c r="H134" i="17" s="1"/>
  <c r="N22" i="17" s="1"/>
  <c r="R85" i="25"/>
  <c r="R86" i="25" s="1"/>
  <c r="AD22" i="25"/>
  <c r="T85" i="25" s="1"/>
  <c r="T79" i="25"/>
  <c r="AN14" i="18"/>
  <c r="J158" i="17"/>
  <c r="AN16" i="18"/>
  <c r="J131" i="17"/>
  <c r="AN18" i="18"/>
  <c r="U61" i="15"/>
  <c r="AD20" i="25"/>
  <c r="T82" i="25" s="1"/>
  <c r="R82" i="25"/>
  <c r="R84" i="25" s="1"/>
  <c r="O75" i="18"/>
  <c r="O74" i="18"/>
  <c r="M75" i="18"/>
  <c r="M74" i="18"/>
  <c r="M73" i="18"/>
  <c r="K75" i="18"/>
  <c r="K72" i="18"/>
  <c r="I73" i="18"/>
  <c r="I75" i="18"/>
  <c r="I71" i="18"/>
  <c r="R71" i="18" s="1"/>
  <c r="I77" i="18"/>
  <c r="J9" i="17"/>
  <c r="J19" i="25"/>
  <c r="J99" i="17" s="1"/>
  <c r="AD28" i="25"/>
  <c r="I12" i="24"/>
  <c r="I19" i="15"/>
  <c r="I8" i="15"/>
  <c r="AN11" i="18"/>
  <c r="K61" i="15"/>
  <c r="K8" i="18"/>
  <c r="M8" i="18" s="1"/>
  <c r="O8" i="18" s="1"/>
  <c r="Q8" i="18" s="1"/>
  <c r="AN8" i="18"/>
  <c r="AP8" i="18" s="1"/>
  <c r="AR8" i="18" s="1"/>
  <c r="AT8" i="18" s="1"/>
  <c r="AV8" i="18" s="1"/>
  <c r="I57" i="24"/>
  <c r="J45" i="24"/>
  <c r="K45" i="24" s="1"/>
  <c r="L45" i="24" s="1"/>
  <c r="M45" i="24" s="1"/>
  <c r="K20" i="26"/>
  <c r="J20" i="26" s="1"/>
  <c r="D21" i="26"/>
  <c r="K21" i="26" s="1"/>
  <c r="J21" i="26" s="1"/>
  <c r="K19" i="26"/>
  <c r="J19" i="26" s="1"/>
  <c r="J35" i="24"/>
  <c r="K35" i="24" s="1"/>
  <c r="L35" i="24" s="1"/>
  <c r="M35" i="24" s="1"/>
  <c r="H57" i="17"/>
  <c r="H98" i="17"/>
  <c r="Y14" i="18"/>
  <c r="AA14" i="18" s="1"/>
  <c r="AC14" i="18" s="1"/>
  <c r="AE14" i="18" s="1"/>
  <c r="AG14" i="18" s="1"/>
  <c r="C81" i="17"/>
  <c r="H81" i="17"/>
  <c r="Q68" i="15"/>
  <c r="R68" i="15" s="1"/>
  <c r="S68" i="15" s="1"/>
  <c r="T68" i="15" s="1"/>
  <c r="U68" i="15" s="1"/>
  <c r="V68" i="15" s="1"/>
  <c r="W68" i="15" s="1"/>
  <c r="X68" i="15" s="1"/>
  <c r="X70" i="15" s="1"/>
  <c r="C82" i="17"/>
  <c r="L61" i="15"/>
  <c r="N67" i="15"/>
  <c r="O67" i="15" s="1"/>
  <c r="P67" i="15" s="1"/>
  <c r="Q67" i="15" s="1"/>
  <c r="R67" i="15" s="1"/>
  <c r="S67" i="15" s="1"/>
  <c r="T67" i="15" s="1"/>
  <c r="U67" i="15" s="1"/>
  <c r="V67" i="15" s="1"/>
  <c r="W67" i="15" s="1"/>
  <c r="Y33" i="18"/>
  <c r="R61" i="15"/>
  <c r="J106" i="17"/>
  <c r="AD7" i="25"/>
  <c r="V61" i="15"/>
  <c r="W61" i="15"/>
  <c r="L64" i="15"/>
  <c r="M64" i="15" s="1"/>
  <c r="N64" i="15" s="1"/>
  <c r="O64" i="15" s="1"/>
  <c r="P64" i="15" s="1"/>
  <c r="Q64" i="15" s="1"/>
  <c r="R64" i="15" s="1"/>
  <c r="S64" i="15" s="1"/>
  <c r="T64" i="15" s="1"/>
  <c r="J85" i="17"/>
  <c r="H36" i="17"/>
  <c r="N10" i="17" s="1"/>
  <c r="D31" i="26"/>
  <c r="K30" i="26"/>
  <c r="J30" i="26" s="1"/>
  <c r="D25" i="26"/>
  <c r="Z54" i="15"/>
  <c r="K29" i="26"/>
  <c r="J29" i="26" s="1"/>
  <c r="H99" i="17"/>
  <c r="R53" i="25"/>
  <c r="G23" i="32" s="1"/>
  <c r="H17" i="17"/>
  <c r="K73" i="18"/>
  <c r="Q61" i="15"/>
  <c r="R57" i="25"/>
  <c r="R51" i="25"/>
  <c r="G21" i="32" s="1"/>
  <c r="J36" i="17"/>
  <c r="P10" i="17" s="1"/>
  <c r="Z56" i="15"/>
  <c r="H176" i="17"/>
  <c r="M61" i="15"/>
  <c r="I24" i="26"/>
  <c r="I29" i="26" s="1"/>
  <c r="I38" i="18"/>
  <c r="AP16" i="18" s="1"/>
  <c r="H115" i="17"/>
  <c r="H117" i="17" s="1"/>
  <c r="R49" i="25"/>
  <c r="G19" i="32" s="1"/>
  <c r="R50" i="25"/>
  <c r="G20" i="32" s="1"/>
  <c r="I74" i="18"/>
  <c r="K66" i="18"/>
  <c r="E31" i="26"/>
  <c r="F32" i="26"/>
  <c r="H26" i="26"/>
  <c r="G26" i="26"/>
  <c r="J98" i="17"/>
  <c r="J157" i="17"/>
  <c r="M31" i="18"/>
  <c r="E30" i="26"/>
  <c r="H29" i="26"/>
  <c r="Z58" i="15"/>
  <c r="F26" i="26"/>
  <c r="AA23" i="18"/>
  <c r="AA33" i="18"/>
  <c r="AC8" i="18"/>
  <c r="K15" i="26"/>
  <c r="J15" i="26" s="1"/>
  <c r="G28" i="26"/>
  <c r="H61" i="15"/>
  <c r="G62" i="15"/>
  <c r="H62" i="15" s="1"/>
  <c r="F28" i="26"/>
  <c r="P61" i="15"/>
  <c r="Z55" i="15"/>
  <c r="H25" i="26"/>
  <c r="K16" i="26"/>
  <c r="J16" i="26" s="1"/>
  <c r="D17" i="26"/>
  <c r="T61" i="15"/>
  <c r="H33" i="26"/>
  <c r="Z59" i="15"/>
  <c r="S61" i="15"/>
  <c r="M66" i="15"/>
  <c r="N66" i="15" s="1"/>
  <c r="O66" i="15" s="1"/>
  <c r="P66" i="15" s="1"/>
  <c r="Q66" i="15" s="1"/>
  <c r="R66" i="15" s="1"/>
  <c r="S66" i="15" s="1"/>
  <c r="T66" i="15" s="1"/>
  <c r="U66" i="15" s="1"/>
  <c r="V66" i="15" s="1"/>
  <c r="Z57" i="15"/>
  <c r="H32" i="26"/>
  <c r="F25" i="26"/>
  <c r="O61" i="15"/>
  <c r="H29" i="25"/>
  <c r="H41" i="25" s="1"/>
  <c r="H55" i="25" s="1"/>
  <c r="H41" i="17"/>
  <c r="H106" i="17"/>
  <c r="H109" i="17" s="1"/>
  <c r="K14" i="26"/>
  <c r="J14" i="26" s="1"/>
  <c r="H155" i="17"/>
  <c r="F19" i="26"/>
  <c r="K34" i="18"/>
  <c r="M34" i="18" s="1"/>
  <c r="O34" i="18" s="1"/>
  <c r="Q34" i="18" s="1"/>
  <c r="K63" i="15"/>
  <c r="G19" i="26"/>
  <c r="K74" i="18"/>
  <c r="H158" i="17"/>
  <c r="W70" i="15" l="1"/>
  <c r="T57" i="25"/>
  <c r="I27" i="32" s="1"/>
  <c r="J19" i="24"/>
  <c r="K10" i="18"/>
  <c r="R48" i="25"/>
  <c r="G18" i="32" s="1"/>
  <c r="R58" i="25"/>
  <c r="G27" i="32"/>
  <c r="R87" i="25"/>
  <c r="R55" i="25" s="1"/>
  <c r="G25" i="32" s="1"/>
  <c r="T80" i="25"/>
  <c r="T81" i="25" s="1"/>
  <c r="T83" i="25"/>
  <c r="T84" i="25" s="1"/>
  <c r="AN12" i="18"/>
  <c r="AP13" i="18" s="1"/>
  <c r="J155" i="17"/>
  <c r="J161" i="17" s="1"/>
  <c r="T50" i="25"/>
  <c r="I20" i="32" s="1"/>
  <c r="J29" i="25"/>
  <c r="J41" i="25" s="1"/>
  <c r="J55" i="25" s="1"/>
  <c r="J61" i="25" s="1"/>
  <c r="T53" i="25"/>
  <c r="I23" i="32" s="1"/>
  <c r="R75" i="18"/>
  <c r="Q22" i="18" s="1"/>
  <c r="I69" i="24"/>
  <c r="I74" i="24" s="1"/>
  <c r="J74" i="24" s="1"/>
  <c r="K74" i="24" s="1"/>
  <c r="L74" i="24" s="1"/>
  <c r="M74" i="24" s="1"/>
  <c r="I64" i="24"/>
  <c r="J64" i="24" s="1"/>
  <c r="K64" i="24" s="1"/>
  <c r="L64" i="24" s="1"/>
  <c r="M64" i="24" s="1"/>
  <c r="H101" i="17"/>
  <c r="N18" i="17" s="1"/>
  <c r="K9" i="15"/>
  <c r="K21" i="15" s="1"/>
  <c r="M9" i="15"/>
  <c r="M21" i="15" s="1"/>
  <c r="L9" i="15"/>
  <c r="L21" i="15" s="1"/>
  <c r="O9" i="15"/>
  <c r="O27" i="15" s="1"/>
  <c r="P9" i="15"/>
  <c r="I29" i="15"/>
  <c r="I31" i="15"/>
  <c r="I30" i="15"/>
  <c r="I15" i="15"/>
  <c r="I24" i="15"/>
  <c r="I25" i="15"/>
  <c r="I28" i="15"/>
  <c r="I33" i="15"/>
  <c r="I26" i="15"/>
  <c r="I27" i="15"/>
  <c r="Q9" i="15"/>
  <c r="Q21" i="15" s="1"/>
  <c r="H42" i="17"/>
  <c r="H44" i="17" s="1"/>
  <c r="N11" i="17" s="1"/>
  <c r="T41" i="25"/>
  <c r="J101" i="17"/>
  <c r="J122" i="17" s="1"/>
  <c r="T68" i="25"/>
  <c r="T71" i="25" s="1"/>
  <c r="AB14" i="25"/>
  <c r="V70" i="15"/>
  <c r="I32" i="15"/>
  <c r="T51" i="25"/>
  <c r="I21" i="32" s="1"/>
  <c r="J57" i="24"/>
  <c r="K57" i="24" s="1"/>
  <c r="L57" i="24" s="1"/>
  <c r="M57" i="24" s="1"/>
  <c r="R72" i="18"/>
  <c r="K22" i="18" s="1"/>
  <c r="I22" i="18"/>
  <c r="Y22" i="18" s="1"/>
  <c r="D22" i="26"/>
  <c r="K22" i="26" s="1"/>
  <c r="J22" i="26" s="1"/>
  <c r="J17" i="17"/>
  <c r="J115" i="17"/>
  <c r="J117" i="17" s="1"/>
  <c r="J124" i="17" s="1"/>
  <c r="H90" i="17"/>
  <c r="H93" i="17" s="1"/>
  <c r="N17" i="17" s="1"/>
  <c r="R56" i="25"/>
  <c r="G26" i="32" s="1"/>
  <c r="H148" i="17"/>
  <c r="H150" i="17" s="1"/>
  <c r="N24" i="17" s="1"/>
  <c r="J107" i="17"/>
  <c r="J109" i="17" s="1"/>
  <c r="J123" i="17" s="1"/>
  <c r="T49" i="25"/>
  <c r="I19" i="32" s="1"/>
  <c r="J176" i="17"/>
  <c r="J132" i="17"/>
  <c r="J134" i="17" s="1"/>
  <c r="J140" i="17" s="1"/>
  <c r="H140" i="17"/>
  <c r="R73" i="18"/>
  <c r="M22" i="18" s="1"/>
  <c r="R74" i="18"/>
  <c r="O22" i="18" s="1"/>
  <c r="N9" i="15"/>
  <c r="N29" i="15" s="1"/>
  <c r="N20" i="17"/>
  <c r="H124" i="17"/>
  <c r="H122" i="17"/>
  <c r="Z61" i="15"/>
  <c r="H161" i="17"/>
  <c r="N25" i="17" s="1"/>
  <c r="R52" i="25"/>
  <c r="K25" i="26"/>
  <c r="J25" i="26" s="1"/>
  <c r="D26" i="26"/>
  <c r="D32" i="26"/>
  <c r="K31" i="26"/>
  <c r="J31" i="26" s="1"/>
  <c r="M66" i="18"/>
  <c r="AC23" i="18"/>
  <c r="T70" i="15"/>
  <c r="L63" i="15"/>
  <c r="K70" i="15"/>
  <c r="H30" i="26"/>
  <c r="T62" i="25"/>
  <c r="I32" i="32" s="1"/>
  <c r="J148" i="17"/>
  <c r="J150" i="17" s="1"/>
  <c r="P24" i="17" s="1"/>
  <c r="J90" i="17"/>
  <c r="J93" i="17" s="1"/>
  <c r="P17" i="17" s="1"/>
  <c r="T48" i="25"/>
  <c r="I18" i="32" s="1"/>
  <c r="T56" i="25"/>
  <c r="I26" i="32" s="1"/>
  <c r="F33" i="26"/>
  <c r="G31" i="26"/>
  <c r="F30" i="26"/>
  <c r="F31" i="26"/>
  <c r="K38" i="18"/>
  <c r="AR16" i="18" s="1"/>
  <c r="H123" i="17"/>
  <c r="N19" i="17"/>
  <c r="AC33" i="18"/>
  <c r="AE8" i="18"/>
  <c r="D18" i="26"/>
  <c r="K18" i="26" s="1"/>
  <c r="J18" i="26" s="1"/>
  <c r="K17" i="26"/>
  <c r="J17" i="26" s="1"/>
  <c r="O31" i="18"/>
  <c r="M38" i="18"/>
  <c r="AT16" i="18" s="1"/>
  <c r="H31" i="26"/>
  <c r="G33" i="26"/>
  <c r="F24" i="26"/>
  <c r="G24" i="26"/>
  <c r="H74" i="17"/>
  <c r="H76" i="17" s="1"/>
  <c r="N15" i="17" s="1"/>
  <c r="H61" i="25"/>
  <c r="U70" i="15"/>
  <c r="K13" i="18" l="1"/>
  <c r="K12" i="18"/>
  <c r="K14" i="18"/>
  <c r="J22" i="24"/>
  <c r="J23" i="24"/>
  <c r="J24" i="24" s="1"/>
  <c r="T58" i="25"/>
  <c r="I28" i="32" s="1"/>
  <c r="K19" i="24"/>
  <c r="M10" i="18"/>
  <c r="J74" i="17"/>
  <c r="J76" i="17" s="1"/>
  <c r="P15" i="17" s="1"/>
  <c r="R54" i="25"/>
  <c r="G24" i="32" s="1"/>
  <c r="G22" i="32"/>
  <c r="H171" i="17"/>
  <c r="G28" i="32"/>
  <c r="T86" i="25"/>
  <c r="T87" i="25" s="1"/>
  <c r="T55" i="25" s="1"/>
  <c r="I25" i="32" s="1"/>
  <c r="J69" i="24"/>
  <c r="K69" i="24" s="1"/>
  <c r="L69" i="24" s="1"/>
  <c r="M69" i="24" s="1"/>
  <c r="I79" i="24"/>
  <c r="J79" i="24" s="1"/>
  <c r="K79" i="24" s="1"/>
  <c r="L79" i="24" s="1"/>
  <c r="M79" i="24" s="1"/>
  <c r="H83" i="17"/>
  <c r="H85" i="17" s="1"/>
  <c r="N16" i="17" s="1"/>
  <c r="R38" i="25"/>
  <c r="G8" i="32" s="1"/>
  <c r="R37" i="25"/>
  <c r="G7" i="32" s="1"/>
  <c r="P18" i="17"/>
  <c r="K27" i="15"/>
  <c r="M16" i="26" s="1"/>
  <c r="O21" i="15"/>
  <c r="O29" i="15"/>
  <c r="O24" i="15"/>
  <c r="L32" i="15"/>
  <c r="O32" i="15"/>
  <c r="O23" i="15"/>
  <c r="O26" i="15"/>
  <c r="O30" i="15"/>
  <c r="O33" i="15"/>
  <c r="M30" i="26" s="1"/>
  <c r="O25" i="15"/>
  <c r="O30" i="26" s="1"/>
  <c r="O31" i="15"/>
  <c r="O22" i="15"/>
  <c r="O28" i="15"/>
  <c r="Q23" i="15"/>
  <c r="P20" i="17"/>
  <c r="R68" i="25"/>
  <c r="R71" i="25" s="1"/>
  <c r="R72" i="25" s="1"/>
  <c r="R73" i="25" s="1"/>
  <c r="AD15" i="25"/>
  <c r="T69" i="25" s="1"/>
  <c r="T70" i="25" s="1"/>
  <c r="T72" i="25" s="1"/>
  <c r="T73" i="25" s="1"/>
  <c r="T52" i="25"/>
  <c r="AN9" i="18"/>
  <c r="Y68" i="18" s="1"/>
  <c r="Y69" i="18" s="1"/>
  <c r="AP10" i="18"/>
  <c r="Y25" i="18"/>
  <c r="I23" i="18"/>
  <c r="I25" i="18" s="1"/>
  <c r="AP14" i="18" s="1"/>
  <c r="AA22" i="18"/>
  <c r="D23" i="26"/>
  <c r="K23" i="26" s="1"/>
  <c r="J23" i="26" s="1"/>
  <c r="M31" i="26"/>
  <c r="H26" i="17"/>
  <c r="H28" i="17" s="1"/>
  <c r="N9" i="17" s="1"/>
  <c r="R62" i="25"/>
  <c r="G32" i="32" s="1"/>
  <c r="T44" i="25"/>
  <c r="T42" i="25"/>
  <c r="T43" i="25" s="1"/>
  <c r="I13" i="32" s="1"/>
  <c r="H49" i="17"/>
  <c r="R39" i="25"/>
  <c r="G9" i="32" s="1"/>
  <c r="H10" i="17"/>
  <c r="H12" i="17" s="1"/>
  <c r="N7" i="17" s="1"/>
  <c r="H58" i="17"/>
  <c r="H60" i="17" s="1"/>
  <c r="N13" i="17" s="1"/>
  <c r="R46" i="25"/>
  <c r="G16" i="32" s="1"/>
  <c r="P19" i="17"/>
  <c r="M27" i="15"/>
  <c r="P21" i="26" s="1"/>
  <c r="O31" i="26"/>
  <c r="H66" i="17"/>
  <c r="H68" i="17" s="1"/>
  <c r="N14" i="17" s="1"/>
  <c r="R47" i="25"/>
  <c r="G17" i="32" s="1"/>
  <c r="R45" i="25"/>
  <c r="G15" i="32" s="1"/>
  <c r="R61" i="25"/>
  <c r="G31" i="32" s="1"/>
  <c r="H18" i="17"/>
  <c r="H20" i="17" s="1"/>
  <c r="N8" i="17" s="1"/>
  <c r="N32" i="15"/>
  <c r="Q25" i="15"/>
  <c r="T61" i="25"/>
  <c r="I31" i="32" s="1"/>
  <c r="M30" i="15"/>
  <c r="P22" i="17"/>
  <c r="M23" i="15"/>
  <c r="M22" i="15"/>
  <c r="M32" i="15"/>
  <c r="N28" i="15"/>
  <c r="N23" i="15"/>
  <c r="M26" i="15"/>
  <c r="Q22" i="26" s="1"/>
  <c r="Q31" i="26"/>
  <c r="N16" i="26"/>
  <c r="P16" i="26"/>
  <c r="M31" i="15"/>
  <c r="N31" i="26"/>
  <c r="P31" i="26"/>
  <c r="N25" i="15"/>
  <c r="Q25" i="26" s="1"/>
  <c r="N30" i="15"/>
  <c r="N33" i="15"/>
  <c r="P25" i="26" s="1"/>
  <c r="N26" i="15"/>
  <c r="N22" i="15"/>
  <c r="N31" i="15"/>
  <c r="N27" i="15"/>
  <c r="H126" i="17"/>
  <c r="H139" i="17" s="1"/>
  <c r="H142" i="17" s="1"/>
  <c r="N23" i="17" s="1"/>
  <c r="N24" i="15"/>
  <c r="N21" i="15"/>
  <c r="Q33" i="15"/>
  <c r="L28" i="15"/>
  <c r="Q30" i="15"/>
  <c r="L24" i="15"/>
  <c r="K33" i="15"/>
  <c r="K31" i="15"/>
  <c r="K32" i="15"/>
  <c r="K25" i="15"/>
  <c r="P17" i="26" s="1"/>
  <c r="K23" i="15"/>
  <c r="K22" i="15"/>
  <c r="N17" i="26" s="1"/>
  <c r="K26" i="15"/>
  <c r="Q17" i="26" s="1"/>
  <c r="K24" i="15"/>
  <c r="K29" i="15"/>
  <c r="N18" i="26" s="1"/>
  <c r="K30" i="15"/>
  <c r="M17" i="26" s="1"/>
  <c r="K28" i="15"/>
  <c r="M18" i="26" s="1"/>
  <c r="M29" i="15"/>
  <c r="M25" i="15"/>
  <c r="M33" i="15"/>
  <c r="L30" i="15"/>
  <c r="L26" i="15"/>
  <c r="L22" i="15"/>
  <c r="Q27" i="15"/>
  <c r="Q32" i="15"/>
  <c r="M28" i="15"/>
  <c r="M24" i="15"/>
  <c r="L29" i="15"/>
  <c r="L25" i="15"/>
  <c r="L33" i="15"/>
  <c r="Q26" i="15"/>
  <c r="Q22" i="15"/>
  <c r="Q31" i="15"/>
  <c r="L31" i="15"/>
  <c r="L27" i="15"/>
  <c r="L23" i="15"/>
  <c r="Q28" i="15"/>
  <c r="Q24" i="15"/>
  <c r="Q29" i="15"/>
  <c r="P27" i="15"/>
  <c r="P31" i="15"/>
  <c r="P22" i="15"/>
  <c r="P28" i="15"/>
  <c r="P32" i="15"/>
  <c r="P23" i="15"/>
  <c r="P29" i="15"/>
  <c r="P21" i="15"/>
  <c r="P24" i="15"/>
  <c r="P26" i="15"/>
  <c r="P30" i="15"/>
  <c r="P33" i="15"/>
  <c r="P25" i="15"/>
  <c r="H166" i="17"/>
  <c r="H170" i="17" s="1"/>
  <c r="N26" i="17" s="1"/>
  <c r="K32" i="26"/>
  <c r="J32" i="26" s="1"/>
  <c r="D33" i="26"/>
  <c r="K33" i="26" s="1"/>
  <c r="J33" i="26" s="1"/>
  <c r="D27" i="26"/>
  <c r="K26" i="26"/>
  <c r="J26" i="26" s="1"/>
  <c r="O66" i="18"/>
  <c r="P25" i="17"/>
  <c r="J166" i="17"/>
  <c r="J170" i="17" s="1"/>
  <c r="P26" i="17" s="1"/>
  <c r="L70" i="15"/>
  <c r="M63" i="15"/>
  <c r="T59" i="25"/>
  <c r="I29" i="32" s="1"/>
  <c r="J175" i="17"/>
  <c r="J178" i="17" s="1"/>
  <c r="P27" i="17" s="1"/>
  <c r="AE33" i="18"/>
  <c r="AG8" i="18"/>
  <c r="AG33" i="18" s="1"/>
  <c r="G29" i="26"/>
  <c r="AE23" i="18"/>
  <c r="J126" i="17"/>
  <c r="Q31" i="18"/>
  <c r="Q38" i="18" s="1"/>
  <c r="O38" i="18"/>
  <c r="AV16" i="18" s="1"/>
  <c r="R59" i="25"/>
  <c r="G29" i="32" s="1"/>
  <c r="H175" i="17"/>
  <c r="H178" i="17" s="1"/>
  <c r="N27" i="17" s="1"/>
  <c r="F29" i="26"/>
  <c r="J18" i="17"/>
  <c r="J20" i="17" s="1"/>
  <c r="P8" i="17" s="1"/>
  <c r="T46" i="25"/>
  <c r="I16" i="32" s="1"/>
  <c r="T45" i="25"/>
  <c r="I15" i="32" s="1"/>
  <c r="T37" i="25"/>
  <c r="I7" i="32" s="1"/>
  <c r="T38" i="25"/>
  <c r="I8" i="32" s="1"/>
  <c r="J26" i="17"/>
  <c r="J28" i="17" s="1"/>
  <c r="P9" i="17" s="1"/>
  <c r="H50" i="17"/>
  <c r="J66" i="17"/>
  <c r="J68" i="17" s="1"/>
  <c r="P14" i="17" s="1"/>
  <c r="T39" i="25"/>
  <c r="I9" i="32" s="1"/>
  <c r="J10" i="17"/>
  <c r="J12" i="17" s="1"/>
  <c r="P7" i="17" s="1"/>
  <c r="Q16" i="26" l="1"/>
  <c r="J25" i="24"/>
  <c r="J26" i="24" s="1"/>
  <c r="J37" i="24" s="1"/>
  <c r="K22" i="24"/>
  <c r="K23" i="24"/>
  <c r="K24" i="24" s="1"/>
  <c r="M12" i="18"/>
  <c r="M14" i="18"/>
  <c r="M13" i="18"/>
  <c r="J171" i="17"/>
  <c r="L19" i="24"/>
  <c r="O10" i="18"/>
  <c r="T54" i="25"/>
  <c r="I24" i="32" s="1"/>
  <c r="I22" i="32"/>
  <c r="H52" i="17"/>
  <c r="N12" i="17" s="1"/>
  <c r="T74" i="25"/>
  <c r="T63" i="25" s="1"/>
  <c r="I33" i="32" s="1"/>
  <c r="R74" i="25"/>
  <c r="R63" i="25" s="1"/>
  <c r="G33" i="32" s="1"/>
  <c r="O16" i="26"/>
  <c r="N29" i="26"/>
  <c r="N33" i="26"/>
  <c r="P30" i="26"/>
  <c r="M29" i="26"/>
  <c r="Q30" i="26"/>
  <c r="Q29" i="26"/>
  <c r="P29" i="26"/>
  <c r="O29" i="26"/>
  <c r="N30" i="26"/>
  <c r="N21" i="26"/>
  <c r="M21" i="26"/>
  <c r="Q19" i="26"/>
  <c r="M19" i="26"/>
  <c r="Y67" i="18"/>
  <c r="Y70" i="18" s="1"/>
  <c r="Y71" i="18" s="1"/>
  <c r="AR11" i="18"/>
  <c r="AA25" i="18"/>
  <c r="AR10" i="18"/>
  <c r="AP9" i="18"/>
  <c r="AA68" i="18" s="1"/>
  <c r="AA69" i="18" s="1"/>
  <c r="AC22" i="18"/>
  <c r="K23" i="18"/>
  <c r="K25" i="18" s="1"/>
  <c r="AR14" i="18" s="1"/>
  <c r="O21" i="26"/>
  <c r="Q21" i="26"/>
  <c r="O24" i="26"/>
  <c r="N25" i="26"/>
  <c r="M23" i="26"/>
  <c r="M24" i="26"/>
  <c r="Q24" i="26"/>
  <c r="P24" i="26"/>
  <c r="O18" i="26"/>
  <c r="N22" i="26"/>
  <c r="M22" i="26"/>
  <c r="O22" i="26"/>
  <c r="N24" i="26"/>
  <c r="O25" i="26"/>
  <c r="O17" i="26"/>
  <c r="P18" i="26"/>
  <c r="N20" i="26"/>
  <c r="O20" i="26"/>
  <c r="Q20" i="26"/>
  <c r="P20" i="26"/>
  <c r="M25" i="26"/>
  <c r="N23" i="26"/>
  <c r="M26" i="26"/>
  <c r="N14" i="26"/>
  <c r="P14" i="26"/>
  <c r="Q14" i="26"/>
  <c r="M14" i="26"/>
  <c r="O14" i="26"/>
  <c r="O15" i="26"/>
  <c r="N15" i="26"/>
  <c r="Q15" i="26"/>
  <c r="O19" i="26"/>
  <c r="Q23" i="26"/>
  <c r="P15" i="26"/>
  <c r="M15" i="26"/>
  <c r="O23" i="26"/>
  <c r="N19" i="26"/>
  <c r="P19" i="26"/>
  <c r="Q18" i="26"/>
  <c r="P23" i="26"/>
  <c r="M20" i="26"/>
  <c r="P26" i="26"/>
  <c r="P22" i="26"/>
  <c r="N21" i="17"/>
  <c r="D28" i="26"/>
  <c r="K28" i="26" s="1"/>
  <c r="J28" i="26" s="1"/>
  <c r="K27" i="26"/>
  <c r="J27" i="26" s="1"/>
  <c r="Q33" i="26"/>
  <c r="M33" i="26"/>
  <c r="P33" i="26"/>
  <c r="O33" i="26"/>
  <c r="Q26" i="26"/>
  <c r="M32" i="26"/>
  <c r="N32" i="26"/>
  <c r="Q32" i="26"/>
  <c r="O32" i="26"/>
  <c r="P32" i="26"/>
  <c r="O26" i="26"/>
  <c r="N26" i="26"/>
  <c r="Q66" i="18"/>
  <c r="Q10" i="18" s="1"/>
  <c r="J139" i="17"/>
  <c r="J142" i="17" s="1"/>
  <c r="P23" i="17" s="1"/>
  <c r="P21" i="17"/>
  <c r="AG23" i="18"/>
  <c r="N63" i="15"/>
  <c r="M70" i="15"/>
  <c r="J12" i="24" l="1"/>
  <c r="K25" i="24"/>
  <c r="K26" i="24" s="1"/>
  <c r="K37" i="24" s="1"/>
  <c r="L22" i="24"/>
  <c r="L23" i="24"/>
  <c r="L24" i="24" s="1"/>
  <c r="Q12" i="18"/>
  <c r="Q14" i="18"/>
  <c r="Q13" i="18"/>
  <c r="O12" i="18"/>
  <c r="O14" i="18"/>
  <c r="O13" i="18"/>
  <c r="M19" i="24"/>
  <c r="AC25" i="18"/>
  <c r="AT10" i="18"/>
  <c r="AR9" i="18"/>
  <c r="AC68" i="18" s="1"/>
  <c r="AA67" i="18"/>
  <c r="AT11" i="18"/>
  <c r="AE22" i="18"/>
  <c r="M23" i="18"/>
  <c r="M25" i="18" s="1"/>
  <c r="N27" i="26"/>
  <c r="O27" i="26"/>
  <c r="M27" i="26"/>
  <c r="P27" i="26"/>
  <c r="Q27" i="26"/>
  <c r="O28" i="26"/>
  <c r="Q28" i="26"/>
  <c r="N28" i="26"/>
  <c r="M28" i="26"/>
  <c r="P28" i="26"/>
  <c r="N70" i="15"/>
  <c r="O63" i="15"/>
  <c r="K12" i="24" l="1"/>
  <c r="L25" i="24"/>
  <c r="L26" i="24" s="1"/>
  <c r="L37" i="24" s="1"/>
  <c r="M22" i="24"/>
  <c r="M23" i="24"/>
  <c r="M24" i="24" s="1"/>
  <c r="AT14" i="18"/>
  <c r="AV11" i="18"/>
  <c r="O23" i="18"/>
  <c r="O25" i="18" s="1"/>
  <c r="AV14" i="18" s="1"/>
  <c r="AT9" i="18"/>
  <c r="AE68" i="18" s="1"/>
  <c r="AV10" i="18"/>
  <c r="AC67" i="18"/>
  <c r="AE25" i="18"/>
  <c r="AG22" i="18"/>
  <c r="P63" i="15"/>
  <c r="O70" i="15"/>
  <c r="L12" i="24" l="1"/>
  <c r="M25" i="24"/>
  <c r="M26" i="24" s="1"/>
  <c r="M37" i="24" s="1"/>
  <c r="AE67" i="18"/>
  <c r="AG25" i="18"/>
  <c r="AV9" i="18"/>
  <c r="AG68" i="18" s="1"/>
  <c r="Q23" i="18"/>
  <c r="Q25" i="18" s="1"/>
  <c r="P70" i="15"/>
  <c r="Q63" i="15"/>
  <c r="M12" i="24" l="1"/>
  <c r="AG67" i="18"/>
  <c r="Q70" i="15"/>
  <c r="R63" i="15"/>
  <c r="S63" i="15" l="1"/>
  <c r="S70" i="15" s="1"/>
  <c r="R70" i="15"/>
  <c r="I10" i="33" l="1"/>
  <c r="I11" i="18"/>
  <c r="I16" i="18" s="1"/>
  <c r="Y79" i="18" l="1"/>
  <c r="Y82" i="18"/>
  <c r="Y47" i="18"/>
  <c r="AP12" i="18"/>
  <c r="AR13" i="18" s="1"/>
  <c r="AC69" i="18"/>
  <c r="Y39" i="18"/>
  <c r="I18" i="18"/>
  <c r="I81" i="18" s="1"/>
  <c r="Y58" i="18" s="1"/>
  <c r="Y72" i="18"/>
  <c r="Y73" i="18" s="1"/>
  <c r="Y48" i="18"/>
  <c r="AA70" i="18"/>
  <c r="AA71" i="18" s="1"/>
  <c r="I27" i="18"/>
  <c r="I40" i="18" s="1"/>
  <c r="I45" i="18" s="1"/>
  <c r="H30" i="34" l="1"/>
  <c r="L110" i="24"/>
  <c r="M110" i="24" s="1"/>
  <c r="L91" i="24"/>
  <c r="M91" i="24" s="1"/>
  <c r="H11" i="34"/>
  <c r="H19" i="34"/>
  <c r="Y50" i="18"/>
  <c r="L99" i="24"/>
  <c r="H20" i="34"/>
  <c r="L100" i="24"/>
  <c r="Y44" i="18"/>
  <c r="I47" i="18"/>
  <c r="L96" i="24" l="1"/>
  <c r="H16" i="34"/>
  <c r="L102" i="24"/>
  <c r="H22" i="34"/>
  <c r="Y51" i="18"/>
  <c r="AP18" i="18"/>
  <c r="Y84" i="18"/>
  <c r="Y85" i="18" s="1"/>
  <c r="I53" i="18"/>
  <c r="L103" i="24" l="1"/>
  <c r="H23" i="34"/>
  <c r="I55" i="18"/>
  <c r="Y52" i="18"/>
  <c r="Y49" i="18" l="1"/>
  <c r="AP15" i="18"/>
  <c r="Y78" i="18"/>
  <c r="Y80" i="18" s="1"/>
  <c r="Y55" i="18"/>
  <c r="I57" i="18"/>
  <c r="I59" i="18" s="1"/>
  <c r="L104" i="24"/>
  <c r="H24" i="34"/>
  <c r="Y10" i="18" l="1"/>
  <c r="Y57" i="18"/>
  <c r="L101" i="24"/>
  <c r="H21" i="34"/>
  <c r="H27" i="34"/>
  <c r="Y56" i="18"/>
  <c r="L107" i="24"/>
  <c r="H28" i="34" l="1"/>
  <c r="L108" i="24"/>
  <c r="H29" i="34"/>
  <c r="L109" i="24"/>
  <c r="K44" i="18"/>
  <c r="Y11" i="18"/>
  <c r="Y17" i="18" s="1"/>
  <c r="Y46" i="18"/>
  <c r="Y38" i="18"/>
  <c r="H18" i="34" l="1"/>
  <c r="L98" i="24"/>
  <c r="M98" i="24" s="1"/>
  <c r="Y54" i="18"/>
  <c r="Y27" i="18"/>
  <c r="I50" i="18"/>
  <c r="H10" i="34"/>
  <c r="L90" i="24"/>
  <c r="L106" i="24" l="1"/>
  <c r="H26" i="34"/>
  <c r="AP17" i="18"/>
  <c r="Y81" i="18"/>
  <c r="Y83" i="18" s="1"/>
  <c r="Y53" i="18" s="1"/>
  <c r="Y45" i="18"/>
  <c r="AA45" i="18"/>
  <c r="Y37" i="18"/>
  <c r="Y43" i="18"/>
  <c r="AA42" i="18"/>
  <c r="Y40" i="18"/>
  <c r="Y35" i="18"/>
  <c r="Y60" i="18"/>
  <c r="Y42" i="18"/>
  <c r="Y61" i="18"/>
  <c r="Y36" i="18"/>
  <c r="Y59" i="18"/>
  <c r="H33" i="34" l="1"/>
  <c r="L113" i="24"/>
  <c r="M113" i="24" s="1"/>
  <c r="H32" i="34"/>
  <c r="L112" i="24"/>
  <c r="M112" i="24" s="1"/>
  <c r="H15" i="34"/>
  <c r="L95" i="24"/>
  <c r="M95" i="24" s="1"/>
  <c r="H25" i="34"/>
  <c r="L105" i="24"/>
  <c r="M105" i="24" s="1"/>
  <c r="H31" i="34"/>
  <c r="L111" i="24"/>
  <c r="M111" i="24" s="1"/>
  <c r="H8" i="34"/>
  <c r="L88" i="24"/>
  <c r="L87" i="24"/>
  <c r="M87" i="24" s="1"/>
  <c r="H7" i="34"/>
  <c r="H9" i="34"/>
  <c r="L89" i="24"/>
  <c r="J17" i="34"/>
  <c r="N97" i="24"/>
  <c r="H12" i="34"/>
  <c r="L92" i="24"/>
  <c r="M92" i="24" s="1"/>
  <c r="Y41" i="18"/>
  <c r="H14" i="34"/>
  <c r="L94" i="24"/>
  <c r="M94" i="24" s="1"/>
  <c r="J14" i="34"/>
  <c r="N94" i="24"/>
  <c r="O94" i="24" s="1"/>
  <c r="H17" i="34"/>
  <c r="L97" i="24"/>
  <c r="L114" i="24" l="1"/>
  <c r="M114" i="24" s="1"/>
  <c r="M88" i="24"/>
  <c r="H13" i="34"/>
  <c r="L93" i="24"/>
  <c r="M93" i="24" s="1"/>
  <c r="L11" i="18"/>
  <c r="J11" i="18"/>
  <c r="L10" i="33"/>
  <c r="K10" i="33"/>
  <c r="M11" i="18"/>
  <c r="M16" i="18" s="1"/>
  <c r="M18" i="18" s="1"/>
  <c r="O11" i="18"/>
  <c r="J10" i="33"/>
  <c r="K11" i="18"/>
  <c r="M10" i="33"/>
  <c r="Q11" i="18"/>
  <c r="Q16" i="18" s="1"/>
  <c r="M115" i="24" l="1"/>
  <c r="AT12" i="18"/>
  <c r="AV13" i="18" s="1"/>
  <c r="AC47" i="18"/>
  <c r="L19" i="34" s="1"/>
  <c r="M27" i="18"/>
  <c r="M40" i="18" s="1"/>
  <c r="M45" i="18" s="1"/>
  <c r="AC44" i="18" s="1"/>
  <c r="L16" i="34" s="1"/>
  <c r="Q18" i="18"/>
  <c r="Q81" i="18" s="1"/>
  <c r="AG58" i="18" s="1"/>
  <c r="AG47" i="18"/>
  <c r="AG48" i="18"/>
  <c r="K16" i="18"/>
  <c r="O16" i="18"/>
  <c r="Q27" i="18"/>
  <c r="Q40" i="18" s="1"/>
  <c r="Q45" i="18" s="1"/>
  <c r="AG44" i="18" s="1"/>
  <c r="AG69" i="18"/>
  <c r="AE70" i="18"/>
  <c r="AC48" i="18"/>
  <c r="M81" i="18"/>
  <c r="AC58" i="18" s="1"/>
  <c r="P99" i="24" l="1"/>
  <c r="P96" i="24"/>
  <c r="L30" i="34"/>
  <c r="P110" i="24"/>
  <c r="Q110" i="24" s="1"/>
  <c r="T110" i="24"/>
  <c r="U110" i="24" s="1"/>
  <c r="P30" i="34"/>
  <c r="P16" i="34"/>
  <c r="T96" i="24"/>
  <c r="P100" i="24"/>
  <c r="L20" i="34"/>
  <c r="AC50" i="18"/>
  <c r="AE79" i="18"/>
  <c r="AV12" i="18"/>
  <c r="AE48" i="18"/>
  <c r="AE47" i="18"/>
  <c r="AE39" i="18"/>
  <c r="O27" i="18"/>
  <c r="O40" i="18" s="1"/>
  <c r="O45" i="18" s="1"/>
  <c r="AE44" i="18" s="1"/>
  <c r="AG70" i="18"/>
  <c r="AG71" i="18" s="1"/>
  <c r="AG72" i="18" s="1"/>
  <c r="AG73" i="18" s="1"/>
  <c r="O18" i="18"/>
  <c r="O81" i="18" s="1"/>
  <c r="AE58" i="18" s="1"/>
  <c r="AE82" i="18"/>
  <c r="AE69" i="18"/>
  <c r="AE71" i="18" s="1"/>
  <c r="AE72" i="18" s="1"/>
  <c r="AE73" i="18" s="1"/>
  <c r="AA82" i="18"/>
  <c r="AR12" i="18"/>
  <c r="AA39" i="18"/>
  <c r="AA79" i="18"/>
  <c r="AA47" i="18"/>
  <c r="AA72" i="18"/>
  <c r="AA73" i="18" s="1"/>
  <c r="K18" i="18"/>
  <c r="K81" i="18" s="1"/>
  <c r="AA58" i="18" s="1"/>
  <c r="J30" i="34" s="1"/>
  <c r="K27" i="18"/>
  <c r="K40" i="18" s="1"/>
  <c r="K45" i="18" s="1"/>
  <c r="AA48" i="18"/>
  <c r="AC70" i="18"/>
  <c r="AC71" i="18" s="1"/>
  <c r="AC72" i="18" s="1"/>
  <c r="AC73" i="18" s="1"/>
  <c r="AC39" i="18"/>
  <c r="AG50" i="18"/>
  <c r="T99" i="24"/>
  <c r="P19" i="34"/>
  <c r="P20" i="34"/>
  <c r="T100" i="24"/>
  <c r="AG39" i="18"/>
  <c r="N110" i="24" l="1"/>
  <c r="O110" i="24" s="1"/>
  <c r="J11" i="34"/>
  <c r="N91" i="24"/>
  <c r="O91" i="24" s="1"/>
  <c r="P11" i="34"/>
  <c r="T91" i="24"/>
  <c r="U91" i="24" s="1"/>
  <c r="AT13" i="18"/>
  <c r="AC82" i="18"/>
  <c r="AC79" i="18"/>
  <c r="N16" i="34"/>
  <c r="R96" i="24"/>
  <c r="N19" i="34"/>
  <c r="R99" i="24"/>
  <c r="AE50" i="18"/>
  <c r="P102" i="24"/>
  <c r="L22" i="34"/>
  <c r="P22" i="34"/>
  <c r="T102" i="24"/>
  <c r="J20" i="34"/>
  <c r="N100" i="24"/>
  <c r="J19" i="34"/>
  <c r="N99" i="24"/>
  <c r="AA50" i="18"/>
  <c r="R110" i="24"/>
  <c r="S110" i="24" s="1"/>
  <c r="N30" i="34"/>
  <c r="R100" i="24"/>
  <c r="N20" i="34"/>
  <c r="P91" i="24"/>
  <c r="Q91" i="24" s="1"/>
  <c r="L11" i="34"/>
  <c r="K47" i="18"/>
  <c r="AA44" i="18"/>
  <c r="N11" i="34"/>
  <c r="R91" i="24"/>
  <c r="S91" i="24" s="1"/>
  <c r="AG82" i="18"/>
  <c r="AG79" i="18"/>
  <c r="N96" i="24" l="1"/>
  <c r="J16" i="34"/>
  <c r="N22" i="34"/>
  <c r="R102" i="24"/>
  <c r="J22" i="34"/>
  <c r="N102" i="24"/>
  <c r="AR18" i="18"/>
  <c r="AA51" i="18"/>
  <c r="AA52" i="18" s="1"/>
  <c r="AA84" i="18"/>
  <c r="AA85" i="18" s="1"/>
  <c r="K53" i="18"/>
  <c r="K55" i="18" l="1"/>
  <c r="K57" i="18" s="1"/>
  <c r="N104" i="24"/>
  <c r="J24" i="34"/>
  <c r="J23" i="34"/>
  <c r="N103" i="24"/>
  <c r="K59" i="18" l="1"/>
  <c r="AA57" i="18" s="1"/>
  <c r="AR15" i="18"/>
  <c r="AA49" i="18"/>
  <c r="AA78" i="18"/>
  <c r="AA80" i="18" s="1"/>
  <c r="AA55" i="18"/>
  <c r="AA10" i="18" l="1"/>
  <c r="AA38" i="18" s="1"/>
  <c r="N107" i="24"/>
  <c r="AA56" i="18"/>
  <c r="J27" i="34"/>
  <c r="N109" i="24"/>
  <c r="J29" i="34"/>
  <c r="J21" i="34"/>
  <c r="N101" i="24"/>
  <c r="AA46" i="18" l="1"/>
  <c r="N98" i="24" s="1"/>
  <c r="O98" i="24" s="1"/>
  <c r="M44" i="18"/>
  <c r="M47" i="18" s="1"/>
  <c r="AA11" i="18"/>
  <c r="AA17" i="18" s="1"/>
  <c r="AA27" i="18" s="1"/>
  <c r="AA59" i="18" s="1"/>
  <c r="J28" i="34"/>
  <c r="N108" i="24"/>
  <c r="J10" i="34"/>
  <c r="N90" i="24"/>
  <c r="J18" i="34" l="1"/>
  <c r="AA54" i="18"/>
  <c r="J26" i="34" s="1"/>
  <c r="K50" i="18"/>
  <c r="AA81" i="18" s="1"/>
  <c r="AA83" i="18" s="1"/>
  <c r="AA53" i="18" s="1"/>
  <c r="J31" i="34"/>
  <c r="N111" i="24"/>
  <c r="O111" i="24" s="1"/>
  <c r="AT18" i="18"/>
  <c r="AC84" i="18"/>
  <c r="AC85" i="18" s="1"/>
  <c r="M53" i="18"/>
  <c r="AC51" i="18"/>
  <c r="AA37" i="18"/>
  <c r="AA43" i="18"/>
  <c r="AC42" i="18"/>
  <c r="AC45" i="18"/>
  <c r="AA60" i="18"/>
  <c r="AA40" i="18"/>
  <c r="AA35" i="18"/>
  <c r="AA36" i="18"/>
  <c r="AA61" i="18"/>
  <c r="N106" i="24" l="1"/>
  <c r="AR17" i="18"/>
  <c r="J15" i="34"/>
  <c r="N95" i="24"/>
  <c r="O95" i="24" s="1"/>
  <c r="N89" i="24"/>
  <c r="J9" i="34"/>
  <c r="J8" i="34"/>
  <c r="N88" i="24"/>
  <c r="L17" i="34"/>
  <c r="P97" i="24"/>
  <c r="L23" i="34"/>
  <c r="P103" i="24"/>
  <c r="AC52" i="18"/>
  <c r="N92" i="24"/>
  <c r="O92" i="24" s="1"/>
  <c r="J12" i="34"/>
  <c r="AA41" i="18"/>
  <c r="N113" i="24"/>
  <c r="O113" i="24" s="1"/>
  <c r="J33" i="34"/>
  <c r="J32" i="34"/>
  <c r="N112" i="24"/>
  <c r="O112" i="24" s="1"/>
  <c r="J7" i="34"/>
  <c r="N87" i="24"/>
  <c r="O87" i="24" s="1"/>
  <c r="L14" i="34"/>
  <c r="P94" i="24"/>
  <c r="Q94" i="24" s="1"/>
  <c r="M55" i="18"/>
  <c r="M57" i="18" s="1"/>
  <c r="N105" i="24"/>
  <c r="O105" i="24" s="1"/>
  <c r="J25" i="34"/>
  <c r="M59" i="18" l="1"/>
  <c r="AC57" i="18" s="1"/>
  <c r="L24" i="34"/>
  <c r="P104" i="24"/>
  <c r="N114" i="24"/>
  <c r="O114" i="24" s="1"/>
  <c r="O88" i="24"/>
  <c r="AC49" i="18"/>
  <c r="AC78" i="18"/>
  <c r="AC80" i="18" s="1"/>
  <c r="AT15" i="18"/>
  <c r="AC55" i="18"/>
  <c r="N93" i="24"/>
  <c r="O93" i="24" s="1"/>
  <c r="J13" i="34"/>
  <c r="O115" i="24" l="1"/>
  <c r="AC10" i="18"/>
  <c r="O44" i="18" s="1"/>
  <c r="AC56" i="18"/>
  <c r="P107" i="24"/>
  <c r="L27" i="34"/>
  <c r="P109" i="24"/>
  <c r="L29" i="34"/>
  <c r="P101" i="24"/>
  <c r="L21" i="34"/>
  <c r="AC11" i="18" l="1"/>
  <c r="AC17" i="18" s="1"/>
  <c r="M50" i="18" s="1"/>
  <c r="AC46" i="18"/>
  <c r="L18" i="34" s="1"/>
  <c r="AC38" i="18"/>
  <c r="L10" i="34" s="1"/>
  <c r="O47" i="18"/>
  <c r="P108" i="24"/>
  <c r="L28" i="34"/>
  <c r="AC54" i="18" l="1"/>
  <c r="L26" i="34" s="1"/>
  <c r="AC27" i="18"/>
  <c r="AC40" i="18" s="1"/>
  <c r="P90" i="24"/>
  <c r="P98" i="24"/>
  <c r="Q98" i="24" s="1"/>
  <c r="AV18" i="18"/>
  <c r="AE84" i="18"/>
  <c r="AE85" i="18" s="1"/>
  <c r="AE51" i="18"/>
  <c r="O53" i="18"/>
  <c r="AT17" i="18"/>
  <c r="AC81" i="18"/>
  <c r="AC83" i="18" s="1"/>
  <c r="AC53" i="18" s="1"/>
  <c r="P106" i="24" l="1"/>
  <c r="AC59" i="18"/>
  <c r="L31" i="34" s="1"/>
  <c r="AE42" i="18"/>
  <c r="R94" i="24" s="1"/>
  <c r="S94" i="24" s="1"/>
  <c r="AC35" i="18"/>
  <c r="L7" i="34" s="1"/>
  <c r="AC61" i="18"/>
  <c r="L33" i="34" s="1"/>
  <c r="AE45" i="18"/>
  <c r="N17" i="34" s="1"/>
  <c r="AC43" i="18"/>
  <c r="L15" i="34" s="1"/>
  <c r="AC60" i="18"/>
  <c r="L32" i="34" s="1"/>
  <c r="AC37" i="18"/>
  <c r="L9" i="34" s="1"/>
  <c r="AC36" i="18"/>
  <c r="L8" i="34" s="1"/>
  <c r="L25" i="34"/>
  <c r="P105" i="24"/>
  <c r="Q105" i="24" s="1"/>
  <c r="O55" i="18"/>
  <c r="O57" i="18" s="1"/>
  <c r="R103" i="24"/>
  <c r="N23" i="34"/>
  <c r="AE52" i="18"/>
  <c r="L12" i="34"/>
  <c r="AC41" i="18"/>
  <c r="P92" i="24"/>
  <c r="Q92" i="24" s="1"/>
  <c r="P113" i="24" l="1"/>
  <c r="Q113" i="24" s="1"/>
  <c r="N14" i="34"/>
  <c r="P87" i="24"/>
  <c r="Q87" i="24" s="1"/>
  <c r="P111" i="24"/>
  <c r="Q111" i="24" s="1"/>
  <c r="R97" i="24"/>
  <c r="P88" i="24"/>
  <c r="Q88" i="24" s="1"/>
  <c r="P112" i="24"/>
  <c r="Q112" i="24" s="1"/>
  <c r="P95" i="24"/>
  <c r="Q95" i="24" s="1"/>
  <c r="P89" i="24"/>
  <c r="O59" i="18"/>
  <c r="AE57" i="18" s="1"/>
  <c r="L13" i="34"/>
  <c r="P93" i="24"/>
  <c r="Q93" i="24" s="1"/>
  <c r="N24" i="34"/>
  <c r="R104" i="24"/>
  <c r="AE78" i="18"/>
  <c r="AE80" i="18" s="1"/>
  <c r="AE49" i="18"/>
  <c r="AV15" i="18"/>
  <c r="AE55" i="18"/>
  <c r="P114" i="24" l="1"/>
  <c r="Q114" i="24" s="1"/>
  <c r="Q115" i="24"/>
  <c r="AE10" i="18"/>
  <c r="AE11" i="18" s="1"/>
  <c r="AE17" i="18" s="1"/>
  <c r="N29" i="34"/>
  <c r="R109" i="24"/>
  <c r="N21" i="34"/>
  <c r="R101" i="24"/>
  <c r="N27" i="34"/>
  <c r="R107" i="24"/>
  <c r="AE56" i="18"/>
  <c r="AE38" i="18" l="1"/>
  <c r="R90" i="24" s="1"/>
  <c r="AE46" i="18"/>
  <c r="R98" i="24" s="1"/>
  <c r="S98" i="24" s="1"/>
  <c r="Q44" i="18"/>
  <c r="Q47" i="18" s="1"/>
  <c r="N28" i="34"/>
  <c r="R108" i="24"/>
  <c r="AE54" i="18"/>
  <c r="O50" i="18"/>
  <c r="AE27" i="18"/>
  <c r="N10" i="34" l="1"/>
  <c r="N18" i="34"/>
  <c r="AE37" i="18"/>
  <c r="AG45" i="18"/>
  <c r="AG42" i="18"/>
  <c r="AE40" i="18"/>
  <c r="AE60" i="18"/>
  <c r="AE35" i="18"/>
  <c r="AE61" i="18"/>
  <c r="AE36" i="18"/>
  <c r="AE43" i="18"/>
  <c r="AG51" i="18"/>
  <c r="AG84" i="18"/>
  <c r="AG85" i="18" s="1"/>
  <c r="Q53" i="18"/>
  <c r="AE81" i="18"/>
  <c r="AE83" i="18" s="1"/>
  <c r="AE53" i="18" s="1"/>
  <c r="AV17" i="18"/>
  <c r="N26" i="34"/>
  <c r="R106" i="24"/>
  <c r="AE59" i="18"/>
  <c r="R113" i="24" l="1"/>
  <c r="S113" i="24" s="1"/>
  <c r="N33" i="34"/>
  <c r="P14" i="34"/>
  <c r="T94" i="24"/>
  <c r="U94" i="24" s="1"/>
  <c r="T103" i="24"/>
  <c r="P23" i="34"/>
  <c r="AG52" i="18"/>
  <c r="N7" i="34"/>
  <c r="R87" i="24"/>
  <c r="S87" i="24" s="1"/>
  <c r="P17" i="34"/>
  <c r="T97" i="24"/>
  <c r="N31" i="34"/>
  <c r="R111" i="24"/>
  <c r="S111" i="24" s="1"/>
  <c r="R105" i="24"/>
  <c r="S105" i="24" s="1"/>
  <c r="N25" i="34"/>
  <c r="R95" i="24"/>
  <c r="S95" i="24" s="1"/>
  <c r="N15" i="34"/>
  <c r="R112" i="24"/>
  <c r="S112" i="24" s="1"/>
  <c r="N32" i="34"/>
  <c r="R89" i="24"/>
  <c r="N9" i="34"/>
  <c r="Q55" i="18"/>
  <c r="R88" i="24"/>
  <c r="N8" i="34"/>
  <c r="N12" i="34"/>
  <c r="AE41" i="18"/>
  <c r="R92" i="24"/>
  <c r="S92" i="24" s="1"/>
  <c r="AG49" i="18" l="1"/>
  <c r="AG78" i="18"/>
  <c r="AG80" i="18" s="1"/>
  <c r="AG55" i="18"/>
  <c r="S88" i="24"/>
  <c r="R114" i="24"/>
  <c r="S114" i="24" s="1"/>
  <c r="N13" i="34"/>
  <c r="R93" i="24"/>
  <c r="S93" i="24" s="1"/>
  <c r="Q57" i="18"/>
  <c r="Q59" i="18" s="1"/>
  <c r="P24" i="34"/>
  <c r="T104" i="24"/>
  <c r="S115" i="24" l="1"/>
  <c r="AG57" i="18"/>
  <c r="AG10" i="18"/>
  <c r="T107" i="24"/>
  <c r="P27" i="34"/>
  <c r="AG56" i="18"/>
  <c r="P21" i="34"/>
  <c r="T101" i="24"/>
  <c r="AG46" i="18" l="1"/>
  <c r="AG11" i="18"/>
  <c r="AG17" i="18" s="1"/>
  <c r="AG38" i="18"/>
  <c r="P28" i="34"/>
  <c r="T108" i="24"/>
  <c r="P29" i="34"/>
  <c r="T109" i="24"/>
  <c r="P10" i="34" l="1"/>
  <c r="T90" i="24"/>
  <c r="AG54" i="18"/>
  <c r="AG27" i="18"/>
  <c r="Q50" i="18"/>
  <c r="AG81" i="18" s="1"/>
  <c r="AG83" i="18" s="1"/>
  <c r="AG53" i="18" s="1"/>
  <c r="P18" i="34"/>
  <c r="T98" i="24"/>
  <c r="U98" i="24" s="1"/>
  <c r="P26" i="34" l="1"/>
  <c r="T106" i="24"/>
  <c r="P25" i="34"/>
  <c r="T105" i="24"/>
  <c r="U105" i="24" s="1"/>
  <c r="AG60" i="18"/>
  <c r="AG40" i="18"/>
  <c r="AG35" i="18"/>
  <c r="AG37" i="18"/>
  <c r="AG36" i="18"/>
  <c r="AG61" i="18"/>
  <c r="AG43" i="18"/>
  <c r="AG59" i="18"/>
  <c r="P15" i="34" l="1"/>
  <c r="T95" i="24"/>
  <c r="U95" i="24" s="1"/>
  <c r="P7" i="34"/>
  <c r="T87" i="24"/>
  <c r="U87" i="24" s="1"/>
  <c r="P33" i="34"/>
  <c r="T113" i="24"/>
  <c r="U113" i="24" s="1"/>
  <c r="T92" i="24"/>
  <c r="U92" i="24" s="1"/>
  <c r="AG41" i="18"/>
  <c r="P12" i="34"/>
  <c r="P8" i="34"/>
  <c r="T88" i="24"/>
  <c r="P32" i="34"/>
  <c r="T112" i="24"/>
  <c r="U112" i="24" s="1"/>
  <c r="T111" i="24"/>
  <c r="U111" i="24" s="1"/>
  <c r="P31" i="34"/>
  <c r="T89" i="24"/>
  <c r="P9" i="34"/>
  <c r="T114" i="24" l="1"/>
  <c r="U114" i="24" s="1"/>
  <c r="U88" i="24"/>
  <c r="P13" i="34"/>
  <c r="T93" i="24"/>
  <c r="U93" i="24" s="1"/>
  <c r="U115" i="2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 Xiong</author>
  </authors>
  <commentList>
    <comment ref="C8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>Lu Xiong: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Should this be a negative number if not 0?</t>
        </r>
      </text>
    </comment>
    <comment ref="C1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Page 12 in "IRIS Ratio Results for 2014" by NAIC</t>
        </r>
      </text>
    </comment>
    <comment ref="C1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Is this the same as one year loss reserve development?
Ans: should be the same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 Xiong</author>
  </authors>
  <commentList>
    <comment ref="C9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Can I list it here?
It should be possitive number?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B9" authorId="0" shapeId="0" xr:uid="{00000000-0006-0000-0400-000001000000}">
      <text>
        <r>
          <rPr>
            <b/>
            <sz val="10"/>
            <color rgb="FF000000"/>
            <rFont val="Tahoma"/>
            <family val="2"/>
          </rPr>
          <t>Lu:
Is it the same as "Two-Year Change in Loss Reserves"?
From NAIC "IRIS results for 2014" page 24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>Ans: Should be the same.</t>
        </r>
      </text>
    </comment>
    <comment ref="C28" authorId="0" shapeId="0" xr:uid="{00000000-0006-0000-0400-000002000000}">
      <text>
        <r>
          <rPr>
            <b/>
            <sz val="10"/>
            <color rgb="FF000000"/>
            <rFont val="Tahoma"/>
            <family val="2"/>
          </rPr>
          <t>added "... under the selected loss retention ..."</t>
        </r>
      </text>
    </comment>
    <comment ref="C29" authorId="0" shapeId="0" xr:uid="{00000000-0006-0000-0400-000003000000}">
      <text>
        <r>
          <rPr>
            <b/>
            <sz val="10"/>
            <color rgb="FF000000"/>
            <rFont val="Tahoma"/>
            <family val="2"/>
          </rPr>
          <t>新加的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 Xiong</author>
  </authors>
  <commentList>
    <comment ref="B8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This is reciprocal number of net_assets/net_premiums</t>
        </r>
      </text>
    </comment>
    <comment ref="H8" authorId="0" shapeId="0" xr:uid="{00000000-0006-0000-0700-000002000000}">
      <text>
        <r>
          <rPr>
            <b/>
            <sz val="9"/>
            <color rgb="FF000000"/>
            <rFont val="Tahoma"/>
            <family val="2"/>
          </rPr>
          <t>Lu Xiong: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Formulas changed here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 Xiong</author>
    <author>Microsoft Office User</author>
  </authors>
  <commentList>
    <comment ref="C10" authorId="0" shapeId="0" xr:uid="{00000000-0006-0000-0900-000001000000}">
      <text>
        <r>
          <rPr>
            <b/>
            <sz val="9"/>
            <color rgb="FF000000"/>
            <rFont val="Tahoma"/>
            <family val="2"/>
          </rPr>
          <t>Lu Xiong: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Should this be a negative number if not 0?</t>
        </r>
      </text>
    </comment>
    <comment ref="N1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Can I list it here?
It should be possitive number?</t>
        </r>
      </text>
    </comment>
    <comment ref="W12" authorId="1" shapeId="0" xr:uid="{00000000-0006-0000-0900-000003000000}">
      <text>
        <r>
          <rPr>
            <b/>
            <sz val="10"/>
            <color rgb="FF000000"/>
            <rFont val="Tahoma"/>
            <family val="2"/>
          </rPr>
          <t>Lu:
Is it the same as "Two-Year Change in Loss Reserves"?
From NAIC "IRIS results for 2014" page 24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>Ans: Should be the same.</t>
        </r>
      </text>
    </comment>
    <comment ref="C2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Page 12 in "IRIS Ratio Results for 2014" by NAIC</t>
        </r>
      </text>
    </comment>
    <comment ref="C25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Is this the same as one year loss reserve development?
Ans: should be the same</t>
        </r>
      </text>
    </comment>
    <comment ref="AE27" authorId="1" shapeId="0" xr:uid="{00000000-0006-0000-0900-000006000000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用户可在这里写任何数</t>
        </r>
      </text>
    </comment>
    <comment ref="X34" authorId="1" shapeId="0" xr:uid="{00000000-0006-0000-0900-000007000000}">
      <text>
        <r>
          <rPr>
            <b/>
            <sz val="10"/>
            <color rgb="FF000000"/>
            <rFont val="Tahoma"/>
            <family val="2"/>
          </rPr>
          <t>added "... under the selected loss retention ..."</t>
        </r>
      </text>
    </comment>
    <comment ref="X35" authorId="1" shapeId="0" xr:uid="{00000000-0006-0000-0900-000008000000}">
      <text>
        <r>
          <rPr>
            <b/>
            <sz val="10"/>
            <color rgb="FF000000"/>
            <rFont val="Tahoma"/>
            <family val="2"/>
          </rPr>
          <t>新加的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 Xiong</author>
  </authors>
  <commentList>
    <comment ref="S36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This is reciprocal number of net_assets/net_premiums</t>
        </r>
      </text>
    </comment>
    <comment ref="Y36" authorId="0" shapeId="0" xr:uid="{00000000-0006-0000-0A00-000002000000}">
      <text>
        <r>
          <rPr>
            <b/>
            <sz val="9"/>
            <color rgb="FF000000"/>
            <rFont val="Tahoma"/>
            <family val="2"/>
          </rPr>
          <t>Lu Xiong: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Formulas changed here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 Xiong</author>
  </authors>
  <commentList>
    <comment ref="F32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这个百分数应该是用户选的，</t>
        </r>
      </text>
    </comment>
    <comment ref="F42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好像这个表格没有用到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  <author>Admin</author>
  </authors>
  <commentList>
    <comment ref="I12" authorId="0" shapeId="0" xr:uid="{00000000-0006-0000-0C00-000001000000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User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input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the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rentention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here.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They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can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input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differen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retentions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for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different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year.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Can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make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a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drop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down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list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and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"other".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If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"other"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is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selected,</t>
        </r>
        <r>
          <rPr>
            <sz val="10"/>
            <color rgb="FF000000"/>
            <rFont val="Tahoma"/>
            <family val="2"/>
          </rPr>
          <t xml:space="preserve">  </t>
        </r>
        <r>
          <rPr>
            <sz val="10"/>
            <color rgb="FF000000"/>
            <rFont val="Tahoma"/>
            <family val="2"/>
          </rPr>
          <t>then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they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can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input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number.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But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for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now,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all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the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future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retentions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is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the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same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as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the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retention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input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in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"Historicall"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page</t>
        </r>
      </text>
    </comment>
    <comment ref="K122" authorId="1" shapeId="0" xr:uid="{00000000-0006-0000-0C00-000002000000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http://www.ncrb.org/ncrb/Portals/0/ncrb/circular%20letters/workers%20comp/C-12-4%20-%20NCCI%20Item%20B-1425.pdf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  <author>Lu Xiong</author>
    <author>Guest</author>
  </authors>
  <commentList>
    <comment ref="C7" authorId="0" shapeId="0" xr:uid="{00000000-0006-0000-0D00-000001000000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User select the retention here</t>
        </r>
      </text>
    </comment>
    <comment ref="E7" authorId="1" shapeId="0" xr:uid="{00000000-0006-0000-0D00-000002000000}">
      <text>
        <r>
          <rPr>
            <b/>
            <sz val="9"/>
            <color rgb="FF000000"/>
            <rFont val="Tahoma"/>
            <family val="2"/>
          </rPr>
          <t>Lu Xiong: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E7-I7</t>
        </r>
        <r>
          <rPr>
            <sz val="9"/>
            <color rgb="FF000000"/>
            <rFont val="Tahoma"/>
            <family val="2"/>
          </rPr>
          <t>格都是用</t>
        </r>
        <r>
          <rPr>
            <sz val="9"/>
            <color rgb="FF000000"/>
            <rFont val="Tahoma"/>
            <family val="2"/>
          </rPr>
          <t>VBA</t>
        </r>
        <r>
          <rPr>
            <sz val="9"/>
            <color rgb="FF000000"/>
            <rFont val="Tahoma"/>
            <family val="2"/>
          </rPr>
          <t>从本页</t>
        </r>
        <r>
          <rPr>
            <sz val="9"/>
            <color rgb="FF000000"/>
            <rFont val="Tahoma"/>
            <family val="2"/>
          </rPr>
          <t>M16</t>
        </r>
        <r>
          <rPr>
            <sz val="9"/>
            <color rgb="FF000000"/>
            <rFont val="Tahoma"/>
            <family val="2"/>
          </rPr>
          <t>格拷过来的</t>
        </r>
      </text>
    </comment>
    <comment ref="E14" authorId="1" shapeId="0" xr:uid="{00000000-0006-0000-0D00-000003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这一块实际上是percentile</t>
        </r>
      </text>
    </comment>
    <comment ref="E15" authorId="2" shapeId="0" xr:uid="{00000000-0006-0000-0D00-000004000000}">
      <text>
        <r>
          <rPr>
            <b/>
            <sz val="9"/>
            <color indexed="81"/>
            <rFont val="Tahoma"/>
            <family val="2"/>
          </rPr>
          <t>Guest:</t>
        </r>
        <r>
          <rPr>
            <sz val="9"/>
            <color indexed="81"/>
            <rFont val="Tahoma"/>
            <family val="2"/>
          </rPr>
          <t xml:space="preserve">
这个应该reference，不应是输入的值，应该跟别的格一样</t>
        </r>
      </text>
    </comment>
    <comment ref="F15" authorId="2" shapeId="0" xr:uid="{00000000-0006-0000-0D00-000005000000}">
      <text>
        <r>
          <rPr>
            <b/>
            <sz val="9"/>
            <color indexed="81"/>
            <rFont val="Tahoma"/>
            <family val="2"/>
          </rPr>
          <t>Guest:</t>
        </r>
        <r>
          <rPr>
            <sz val="9"/>
            <color indexed="81"/>
            <rFont val="Tahoma"/>
            <family val="2"/>
          </rPr>
          <t xml:space="preserve">
此处应该是‘'Setup'!G33,因为这里叫做L2引用的却是L3，后面的顺序也错了</t>
        </r>
      </text>
    </comment>
    <comment ref="H17" authorId="1" shapeId="0" xr:uid="{00000000-0006-0000-0D00-000006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这一块有好几个公式没对齐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Microsoft Office User</author>
    <author>Lu Xiong</author>
  </authors>
  <commentList>
    <comment ref="N6" authorId="0" shapeId="0" xr:uid="{00000000-0006-0000-0E00-000001000000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http://www.ncrb.org/ncrb/Portals/0/ncrb/circular%20letters/workers%20comp/C-12-4%20-%20NCCI%20Item%20B-1425.pdf
</t>
        </r>
      </text>
    </comment>
    <comment ref="I8" authorId="1" shapeId="0" xr:uid="{00000000-0006-0000-0E00-000002000000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Is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this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aggregate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retention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or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per-occurence</t>
        </r>
        <r>
          <rPr>
            <sz val="10"/>
            <color rgb="FF000000"/>
            <rFont val="Tahoma"/>
            <family val="2"/>
          </rPr>
          <t xml:space="preserve"> </t>
        </r>
        <r>
          <rPr>
            <sz val="10"/>
            <color rgb="FF000000"/>
            <rFont val="Tahoma"/>
            <family val="2"/>
          </rPr>
          <t>retention</t>
        </r>
      </text>
    </comment>
    <comment ref="Q8" authorId="1" shapeId="0" xr:uid="{00000000-0006-0000-0E00-000003000000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如果是模拟的话这些</t>
        </r>
        <r>
          <rPr>
            <sz val="10"/>
            <color rgb="FF000000"/>
            <rFont val="Tahoma"/>
            <family val="2"/>
          </rPr>
          <t>factor</t>
        </r>
        <r>
          <rPr>
            <sz val="10"/>
            <color rgb="FF000000"/>
            <rFont val="Tahoma"/>
            <family val="2"/>
          </rPr>
          <t>都不须要</t>
        </r>
      </text>
    </comment>
    <comment ref="D20" authorId="2" shapeId="0" xr:uid="{00000000-0006-0000-0E00-000004000000}">
      <text>
        <r>
          <rPr>
            <b/>
            <sz val="9"/>
            <color indexed="81"/>
            <rFont val="Tahoma"/>
            <family val="2"/>
          </rPr>
          <t>Lu Xiong:</t>
        </r>
        <r>
          <rPr>
            <sz val="9"/>
            <color indexed="81"/>
            <rFont val="Tahoma"/>
            <family val="2"/>
          </rPr>
          <t xml:space="preserve">
confidence interval.
This distribution can be computed from the loss run. The increase limit factor can also be computed from the loss run.</t>
        </r>
      </text>
    </comment>
    <comment ref="E20" authorId="2" shapeId="0" xr:uid="{00000000-0006-0000-0E00-000005000000}">
      <text>
        <r>
          <rPr>
            <b/>
            <sz val="9"/>
            <color rgb="FF000000"/>
            <rFont val="Tahoma"/>
            <family val="2"/>
          </rPr>
          <t>Lu Xiong: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 think this can be computed using the mean and std of lognormal distribution.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期望损失的多少倍。这个应该是通过左边的历史损失经验用对数正态拟合出来的</t>
        </r>
      </text>
    </comment>
    <comment ref="J21" authorId="2" shapeId="0" xr:uid="{00000000-0006-0000-0E00-000006000000}">
      <text>
        <r>
          <rPr>
            <b/>
            <sz val="9"/>
            <color rgb="FF000000"/>
            <rFont val="Tahoma"/>
            <family val="2"/>
          </rPr>
          <t>Lu Xiong: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这一块实际上是</t>
        </r>
        <r>
          <rPr>
            <sz val="9"/>
            <color rgb="FF000000"/>
            <rFont val="Tahoma"/>
            <family val="2"/>
          </rPr>
          <t>percentile</t>
        </r>
      </text>
    </comment>
  </commentList>
</comments>
</file>

<file path=xl/sharedStrings.xml><?xml version="1.0" encoding="utf-8"?>
<sst xmlns="http://schemas.openxmlformats.org/spreadsheetml/2006/main" count="3205" uniqueCount="507">
  <si>
    <t>Define the Simulation</t>
  </si>
  <si>
    <t>Additional data necessary to generate the simulation is requested on the next page.</t>
  </si>
  <si>
    <t>Check to Select</t>
  </si>
  <si>
    <t>R4L2</t>
    <phoneticPr fontId="26" type="noConversion"/>
  </si>
  <si>
    <t>R4L3</t>
    <phoneticPr fontId="26" type="noConversion"/>
  </si>
  <si>
    <t>R4L4</t>
    <phoneticPr fontId="26" type="noConversion"/>
  </si>
  <si>
    <t>R2L5</t>
    <phoneticPr fontId="26" type="noConversion"/>
  </si>
  <si>
    <t>R3L5</t>
    <phoneticPr fontId="26" type="noConversion"/>
  </si>
  <si>
    <t>R4L5</t>
    <phoneticPr fontId="26" type="noConversion"/>
  </si>
  <si>
    <t>Selected to model merger</t>
    <phoneticPr fontId="26" type="noConversion"/>
  </si>
  <si>
    <t>Selected to model divestiture</t>
    <phoneticPr fontId="26" type="noConversion"/>
  </si>
  <si>
    <t>Retention</t>
    <phoneticPr fontId="26" type="noConversion"/>
  </si>
  <si>
    <t>Do you want to evaluate the impact of changes in retention levels? &lt;R1,R2,R3,R4&gt; If no, what retention will be used for the five years proforma &lt;R0&gt;</t>
    <phoneticPr fontId="26" type="noConversion"/>
  </si>
  <si>
    <r>
      <t xml:space="preserve">&lt;Losses in each year are </t>
    </r>
    <r>
      <rPr>
        <b/>
        <u/>
        <sz val="11"/>
        <color indexed="8"/>
        <rFont val="Calibri"/>
        <family val="2"/>
      </rPr>
      <t>ONE</t>
    </r>
    <r>
      <rPr>
        <sz val="11"/>
        <color theme="1"/>
        <rFont val="Calibri"/>
        <family val="2"/>
        <scheme val="minor"/>
      </rPr>
      <t xml:space="preserve"> of the following 1) 60% CI 2) 65% CI 3) 70% CI 4) 75% CI</t>
    </r>
    <phoneticPr fontId="26" type="noConversion"/>
  </si>
  <si>
    <t>Exposures (Payroll)</t>
  </si>
  <si>
    <t>Enter Annual Percentages</t>
  </si>
  <si>
    <t>Enter Flat Annual Dollar or Annual Percentage Growth</t>
  </si>
  <si>
    <t>Enter Annual Yield</t>
  </si>
  <si>
    <t>Enter Annual Percentage</t>
  </si>
  <si>
    <t>Losses will be based on Payroll.  Enter dollars or % growth in payroll from base year</t>
  </si>
  <si>
    <t>The start page should be similar to the first page in the Captive Assessment Tool</t>
  </si>
  <si>
    <t>On input 2, there should be a way to just enter first year precentages and then apply to all years</t>
    <phoneticPr fontId="26" type="noConversion"/>
  </si>
  <si>
    <t>Selected to model changes in retention level</t>
    <phoneticPr fontId="26" type="noConversion"/>
  </si>
  <si>
    <t>R1L1</t>
    <phoneticPr fontId="26" type="noConversion"/>
  </si>
  <si>
    <t>R1L2</t>
    <phoneticPr fontId="26" type="noConversion"/>
  </si>
  <si>
    <t>R1L3</t>
    <phoneticPr fontId="26" type="noConversion"/>
  </si>
  <si>
    <t>R1L4</t>
    <phoneticPr fontId="26" type="noConversion"/>
  </si>
  <si>
    <t>R1L5</t>
    <phoneticPr fontId="26" type="noConversion"/>
  </si>
  <si>
    <t>R2L1</t>
    <phoneticPr fontId="26" type="noConversion"/>
  </si>
  <si>
    <t>R2L2</t>
    <phoneticPr fontId="26" type="noConversion"/>
  </si>
  <si>
    <t>R2L3</t>
    <phoneticPr fontId="26" type="noConversion"/>
  </si>
  <si>
    <t>R2L4</t>
    <phoneticPr fontId="26" type="noConversion"/>
  </si>
  <si>
    <t>R3L1</t>
    <phoneticPr fontId="26" type="noConversion"/>
  </si>
  <si>
    <t>R3L2</t>
    <phoneticPr fontId="26" type="noConversion"/>
  </si>
  <si>
    <t>R3L3</t>
    <phoneticPr fontId="26" type="noConversion"/>
  </si>
  <si>
    <t>R3L4</t>
    <phoneticPr fontId="26" type="noConversion"/>
  </si>
  <si>
    <t>R4L1</t>
    <phoneticPr fontId="26" type="noConversion"/>
  </si>
  <si>
    <t xml:space="preserve">Liquid Assets </t>
  </si>
  <si>
    <t>Overall Liquidity</t>
  </si>
  <si>
    <t>Underwriting Cash Flow</t>
  </si>
  <si>
    <t>Less:</t>
  </si>
  <si>
    <t>Loss-related payments</t>
  </si>
  <si>
    <t>Underwriting expenses</t>
  </si>
  <si>
    <t>Dividends to policyholders</t>
  </si>
  <si>
    <t>Operating Cash Flow</t>
  </si>
  <si>
    <t>Federal Income Taxes Paid</t>
  </si>
  <si>
    <t>Less: Net Investment Income Ratio</t>
  </si>
  <si>
    <t>Net Investment Income to Net Premiums Earned</t>
  </si>
  <si>
    <t>Paid Losses to Liquid Assets</t>
  </si>
  <si>
    <t>Below, by answering a few questions, you  provide the basic scope parameters for the simulation.</t>
  </si>
  <si>
    <t>Indicate the domicile for the captive :</t>
  </si>
  <si>
    <t>Net Income to Net Premiums Written</t>
  </si>
  <si>
    <t>Financial Ratios &amp; Measurments</t>
  </si>
  <si>
    <t>Summary of Ratios &amp; Measurements</t>
  </si>
  <si>
    <t>Underwriting Income</t>
  </si>
  <si>
    <t>Policyhodler Dividend</t>
  </si>
  <si>
    <t>Financial Ratio &amp; Measurements</t>
  </si>
  <si>
    <t>Start Proforma Financials with which year?</t>
  </si>
  <si>
    <t>YEAR</t>
  </si>
  <si>
    <t>As Of</t>
  </si>
  <si>
    <t>Additional Data Required</t>
  </si>
  <si>
    <t>Proforma Financial Statement Assumptions</t>
  </si>
  <si>
    <t>Other (% of Gross Written Premium)</t>
  </si>
  <si>
    <t>Investment Yield on Underwriting Cash Flow</t>
  </si>
  <si>
    <t>&lt;pull down list which will also include "custom" option&gt;</t>
  </si>
  <si>
    <t>&lt;Present list shown below&gt;</t>
  </si>
  <si>
    <r>
      <t xml:space="preserve">Select </t>
    </r>
    <r>
      <rPr>
        <b/>
        <u/>
        <sz val="11"/>
        <color theme="1"/>
        <rFont val="Calibri"/>
        <family val="2"/>
        <scheme val="minor"/>
      </rPr>
      <t>one</t>
    </r>
    <r>
      <rPr>
        <sz val="11"/>
        <color theme="1"/>
        <rFont val="Calibri"/>
        <family val="2"/>
        <scheme val="minor"/>
      </rPr>
      <t xml:space="preserve"> of the following modeling scenarios:</t>
    </r>
  </si>
  <si>
    <t>Modeling Different Retention Levels</t>
  </si>
  <si>
    <t>Simulation Definition &amp; Setup:  Additional Data Required</t>
  </si>
  <si>
    <t>Reinsurance Premium (% of Gross Written Premium if not running retention scenarios)</t>
  </si>
  <si>
    <t xml:space="preserve">  &lt; Need some switch between  apply all years or enter annual percentage amounts for all 2 items</t>
  </si>
  <si>
    <t xml:space="preserve">  &lt; Need some switch between  apply all years or enter annual percentage amounts for all 1 items</t>
  </si>
  <si>
    <t>Tax Rate (Enter 0% if Does Not Apply)</t>
  </si>
  <si>
    <t>Loss and LAE to Net Premiums Earned</t>
  </si>
  <si>
    <t>Ratio or Measurement</t>
  </si>
  <si>
    <t>Financial Ratio Ranges</t>
  </si>
  <si>
    <t>Must be Above</t>
  </si>
  <si>
    <t>Must be Below</t>
  </si>
  <si>
    <t>&lt;NOTE: These retention levels are entered by user on previous screen&gt;</t>
  </si>
  <si>
    <t>$100,000</t>
  </si>
  <si>
    <t>$250,000</t>
  </si>
  <si>
    <t>$500,000</t>
  </si>
  <si>
    <t>$25,000</t>
  </si>
  <si>
    <t>One Year Reserve Development</t>
  </si>
  <si>
    <t>Policyholders Surplus</t>
  </si>
  <si>
    <t>Ratio</t>
  </si>
  <si>
    <t>Gross Premiums Written</t>
  </si>
  <si>
    <t>Net Premiums Written</t>
  </si>
  <si>
    <t>As of</t>
  </si>
  <si>
    <t>Historical Income Statement Years</t>
  </si>
  <si>
    <t>Historical Balance Sheet as of Date</t>
  </si>
  <si>
    <t>L1</t>
    <phoneticPr fontId="26" type="noConversion"/>
  </si>
  <si>
    <t>L2</t>
    <phoneticPr fontId="26" type="noConversion"/>
  </si>
  <si>
    <t>L3</t>
    <phoneticPr fontId="26" type="noConversion"/>
  </si>
  <si>
    <t>L4</t>
    <phoneticPr fontId="26" type="noConversion"/>
  </si>
  <si>
    <t>L5</t>
    <phoneticPr fontId="26" type="noConversion"/>
  </si>
  <si>
    <t>Y1</t>
    <phoneticPr fontId="26" type="noConversion"/>
  </si>
  <si>
    <t>Y2</t>
    <phoneticPr fontId="26" type="noConversion"/>
  </si>
  <si>
    <t>Y3</t>
    <phoneticPr fontId="26" type="noConversion"/>
  </si>
  <si>
    <t>Y4</t>
    <phoneticPr fontId="26" type="noConversion"/>
  </si>
  <si>
    <t>Y5</t>
    <phoneticPr fontId="26" type="noConversion"/>
  </si>
  <si>
    <t>&lt;if yes, then need to enter premium and expected losses that were associated with acquired subsidiary.&gt;</t>
  </si>
  <si>
    <t>&lt;if yes, then need to indicate premium and losses that are associated with the divested subsidiary &gt;</t>
  </si>
  <si>
    <t>(A)</t>
  </si>
  <si>
    <t>(B)</t>
  </si>
  <si>
    <t>(C)</t>
  </si>
  <si>
    <t>&lt;no choice&gt;</t>
  </si>
  <si>
    <t>&lt;choices&gt;</t>
  </si>
  <si>
    <t>The impact of different loss levels (loss volatility) will be evaluated through defined scnarios.  For this purpose make selections within the ranges provided below:</t>
  </si>
  <si>
    <t>Target Range</t>
  </si>
  <si>
    <t>Premium Taxes (Front Company)</t>
  </si>
  <si>
    <t>Domicile Premium Tax</t>
  </si>
  <si>
    <t>Income Before Dividends and Taxes</t>
  </si>
  <si>
    <t>Taxes</t>
  </si>
  <si>
    <t>Operating Ratio</t>
  </si>
  <si>
    <t>Gross Premium to Surplus</t>
  </si>
  <si>
    <t>Net Premiums to Surplus</t>
  </si>
  <si>
    <t>Change in Premiums</t>
  </si>
  <si>
    <t>Change in Surplus</t>
  </si>
  <si>
    <t>One Year Reserve Development to Surplus</t>
  </si>
  <si>
    <t>Additional Information</t>
  </si>
  <si>
    <t>Maximum Retention per Loss</t>
  </si>
  <si>
    <t>Investment on Capital (Surplus)</t>
  </si>
  <si>
    <t>Investment Yield on Surplus</t>
  </si>
  <si>
    <t>Investment Yield on Underwriting Income</t>
  </si>
  <si>
    <t>Other</t>
  </si>
  <si>
    <t>Investment on Underwriting Income</t>
  </si>
  <si>
    <t>One Year Change in Reserve to Surplus</t>
  </si>
  <si>
    <t>Liabilities to Liquid Assets</t>
  </si>
  <si>
    <t>Liquid Assets (Cash + Unrelated Investments)</t>
  </si>
  <si>
    <t>Loss and Loss Adjustment Expense</t>
  </si>
  <si>
    <t>Net Premiums Earned</t>
  </si>
  <si>
    <t>Underwriting Expense to Net Premiums Earned</t>
  </si>
  <si>
    <t>Underwriting Expenses</t>
  </si>
  <si>
    <t>Policyholder Dividend to Net Premiums Earned</t>
  </si>
  <si>
    <t>Combined Ratio</t>
  </si>
  <si>
    <t>Loss and Loss Adjustment Expense Ratio</t>
  </si>
  <si>
    <t>Underwriting Expense Ratio</t>
  </si>
  <si>
    <t>Policyholder Dividend Ratio</t>
  </si>
  <si>
    <r>
      <t>R0ML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1</t>
    </r>
    <phoneticPr fontId="26" type="noConversion"/>
  </si>
  <si>
    <r>
      <t>R0ML</t>
    </r>
    <r>
      <rPr>
        <vertAlign val="subscript"/>
        <sz val="11"/>
        <color indexed="8"/>
        <rFont val="Calibri"/>
        <family val="2"/>
      </rPr>
      <t>1</t>
    </r>
    <r>
      <rPr>
        <sz val="11"/>
        <color indexed="8"/>
        <rFont val="Calibri"/>
        <family val="2"/>
      </rPr>
      <t>2</t>
    </r>
    <phoneticPr fontId="26" type="noConversion"/>
  </si>
  <si>
    <r>
      <t>R0ML</t>
    </r>
    <r>
      <rPr>
        <vertAlign val="subscript"/>
        <sz val="11"/>
        <color indexed="8"/>
        <rFont val="Calibri"/>
        <family val="2"/>
      </rPr>
      <t>1</t>
    </r>
    <r>
      <rPr>
        <sz val="11"/>
        <color indexed="8"/>
        <rFont val="Calibri"/>
        <family val="2"/>
      </rPr>
      <t>3</t>
    </r>
    <phoneticPr fontId="26" type="noConversion"/>
  </si>
  <si>
    <r>
      <t>R0ML</t>
    </r>
    <r>
      <rPr>
        <vertAlign val="subscript"/>
        <sz val="11"/>
        <color indexed="8"/>
        <rFont val="Calibri"/>
        <family val="2"/>
      </rPr>
      <t>1</t>
    </r>
    <r>
      <rPr>
        <sz val="11"/>
        <color indexed="8"/>
        <rFont val="Calibri"/>
        <family val="2"/>
      </rPr>
      <t>4</t>
    </r>
    <phoneticPr fontId="26" type="noConversion"/>
  </si>
  <si>
    <r>
      <t>R0ML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5</t>
    </r>
    <phoneticPr fontId="26" type="noConversion"/>
  </si>
  <si>
    <r>
      <t>R0DL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1</t>
    </r>
    <phoneticPr fontId="26" type="noConversion"/>
  </si>
  <si>
    <r>
      <t>R0DL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2</t>
    </r>
    <phoneticPr fontId="26" type="noConversion"/>
  </si>
  <si>
    <r>
      <t>R0DL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3</t>
    </r>
    <phoneticPr fontId="26" type="noConversion"/>
  </si>
  <si>
    <r>
      <t>R0DL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4</t>
    </r>
    <phoneticPr fontId="26" type="noConversion"/>
  </si>
  <si>
    <r>
      <t>R0DL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5</t>
    </r>
    <phoneticPr fontId="26" type="noConversion"/>
  </si>
  <si>
    <t>Y1</t>
    <phoneticPr fontId="26" type="noConversion"/>
  </si>
  <si>
    <t>Y2</t>
    <phoneticPr fontId="26" type="noConversion"/>
  </si>
  <si>
    <t>Losses</t>
    <phoneticPr fontId="26" type="noConversion"/>
  </si>
  <si>
    <r>
      <t xml:space="preserve">  &lt; If they are doing multiple retention levels, then </t>
    </r>
    <r>
      <rPr>
        <sz val="10"/>
        <rFont val="Calibri"/>
        <family val="2"/>
      </rPr>
      <t>ignore and see above</t>
    </r>
    <phoneticPr fontId="26" type="noConversion"/>
  </si>
  <si>
    <t>Scenarios: Active &amp; Queue</t>
    <phoneticPr fontId="26" type="noConversion"/>
  </si>
  <si>
    <t>Active Model Scenario</t>
    <phoneticPr fontId="26" type="noConversion"/>
  </si>
  <si>
    <t>Expected Loss Scenario</t>
  </si>
  <si>
    <t>High Loss Scenario:</t>
  </si>
  <si>
    <t>Defined Scenario 1:</t>
  </si>
  <si>
    <t xml:space="preserve">Defined Scenario 2: </t>
  </si>
  <si>
    <t>Catastrophic Scenario:</t>
  </si>
  <si>
    <t xml:space="preserve">Do you want to measure the impact of a merger or acquisition on the captive, meaning incremental premiums and losses starting in the first year of simulation?  </t>
  </si>
  <si>
    <t>Do you want to determine the impact of retaining loss reserves within the captive for a divested subsidiary?</t>
  </si>
  <si>
    <t>Net Income</t>
  </si>
  <si>
    <t>Other Underwriting Expenses</t>
  </si>
  <si>
    <t>Underwriting Gain (Loss)</t>
  </si>
  <si>
    <t>Unrelated Investments</t>
  </si>
  <si>
    <t>Total Assets</t>
  </si>
  <si>
    <t>Total Liabilities</t>
  </si>
  <si>
    <t>Investment Income</t>
  </si>
  <si>
    <t>Surplus</t>
  </si>
  <si>
    <t>Starting</t>
  </si>
  <si>
    <t>Year1</t>
  </si>
  <si>
    <t>Year2</t>
  </si>
  <si>
    <t>Year3</t>
  </si>
  <si>
    <t>Year4</t>
  </si>
  <si>
    <t>Year5</t>
  </si>
  <si>
    <t>Payout</t>
  </si>
  <si>
    <t>Reserves</t>
  </si>
  <si>
    <t>Projections</t>
  </si>
  <si>
    <t>Income Statement</t>
  </si>
  <si>
    <t>Premiums</t>
  </si>
  <si>
    <t>Reinsurance Premium</t>
  </si>
  <si>
    <t>Net Earned Premiums</t>
  </si>
  <si>
    <t>Claim Costs</t>
  </si>
  <si>
    <t>Paid Losses</t>
  </si>
  <si>
    <t>Change in Loss Reserves</t>
  </si>
  <si>
    <t>Loss &amp; Allocated Loss Adjustment Expense</t>
  </si>
  <si>
    <t>Captive Management</t>
  </si>
  <si>
    <t>Legal</t>
  </si>
  <si>
    <t>Audit</t>
  </si>
  <si>
    <t>Actuarial</t>
  </si>
  <si>
    <t>Miscellaneous</t>
  </si>
  <si>
    <t>Total Other Underwriting Expenses</t>
  </si>
  <si>
    <t>Underwriting Profit (Loss)</t>
  </si>
  <si>
    <t>Underwriting Investment Income</t>
  </si>
  <si>
    <t>Total Investment Income</t>
  </si>
  <si>
    <t>Dividends</t>
  </si>
  <si>
    <t>Firm:</t>
  </si>
  <si>
    <t>American Captive Company</t>
  </si>
  <si>
    <t>Year</t>
  </si>
  <si>
    <t>Balance Sheet</t>
  </si>
  <si>
    <t>Assets</t>
  </si>
  <si>
    <t>Non Liquid Investments</t>
  </si>
  <si>
    <t>Unrelated or Miscellaneous Asset</t>
  </si>
  <si>
    <t>Liabilities</t>
  </si>
  <si>
    <t>Loss Reserve net of Reinsurance</t>
  </si>
  <si>
    <t>Miscellaneous Liabilities</t>
  </si>
  <si>
    <t>Change in Net Premiums</t>
  </si>
  <si>
    <t xml:space="preserve">As of </t>
  </si>
  <si>
    <t>&lt;select Domicile&gt;</t>
  </si>
  <si>
    <t>&lt;NOTE: User will be given option to enter one percentage that applies to all years for each variable&gt;</t>
  </si>
  <si>
    <t>to</t>
  </si>
  <si>
    <t>Per Occurrence Retention</t>
  </si>
  <si>
    <t>Aggregate Retention</t>
  </si>
  <si>
    <t>Aggregate Excess Limit</t>
  </si>
  <si>
    <t>Reinsurance Premium as a Percentage of Gross</t>
  </si>
  <si>
    <t>Premium Taxes for Front Company (% of Gross Premium)</t>
  </si>
  <si>
    <t>Percentage of Income before Dividends and Taxes</t>
  </si>
  <si>
    <t>&lt; need dollar choice</t>
  </si>
  <si>
    <t>Gross Premiums (Either a percentage of payroll or a flat amount)</t>
  </si>
  <si>
    <t>Gross Premium as percent of Payroll</t>
  </si>
  <si>
    <t>HIDDEN COMPUTATION SCRATCH</t>
  </si>
  <si>
    <t>Payroll</t>
  </si>
  <si>
    <t>In the future: we will brainstorm instruction for how to use the model for specific situations</t>
  </si>
  <si>
    <t>STDEV</t>
  </si>
  <si>
    <t>Loss Projection</t>
  </si>
  <si>
    <t>10 year</t>
  </si>
  <si>
    <t>6 year</t>
  </si>
  <si>
    <t>3 year</t>
  </si>
  <si>
    <t>&lt;First year 95% CI, Second year expected, Third year expected, Fourth year 95% CI, Fifth year expected&gt;</t>
  </si>
  <si>
    <t>Defined Scenario Options</t>
  </si>
  <si>
    <t>O1</t>
  </si>
  <si>
    <t>O2</t>
  </si>
  <si>
    <t>O3</t>
  </si>
  <si>
    <t>O4</t>
  </si>
  <si>
    <t>O5</t>
  </si>
  <si>
    <t>E</t>
  </si>
  <si>
    <t>e</t>
  </si>
  <si>
    <t>O6</t>
  </si>
  <si>
    <t>O7</t>
  </si>
  <si>
    <t>O8</t>
  </si>
  <si>
    <t>Sample  Scenarios For Testing</t>
  </si>
  <si>
    <t>Per Occurrence Risk Retention to Surplus</t>
  </si>
  <si>
    <t>Hidden Analytical Computations for Losses</t>
  </si>
  <si>
    <t>What we know from the user</t>
  </si>
  <si>
    <t>What we will use for distributions</t>
  </si>
  <si>
    <t>Selected Loss</t>
  </si>
  <si>
    <t>CI</t>
  </si>
  <si>
    <t>%E</t>
  </si>
  <si>
    <t>Loss Level</t>
  </si>
  <si>
    <t>Confidence Interval &amp; Different Retentions</t>
  </si>
  <si>
    <t>Unlimited</t>
  </si>
  <si>
    <t>Retention</t>
  </si>
  <si>
    <t>Increased Limits Factor</t>
  </si>
  <si>
    <t>Where to Look Table</t>
  </si>
  <si>
    <t>(Unlimited)</t>
  </si>
  <si>
    <t>Scenario</t>
  </si>
  <si>
    <t>&lt;r1&gt;</t>
  </si>
  <si>
    <t>&lt;r2&gt;</t>
  </si>
  <si>
    <t>&lt;r3&gt;</t>
  </si>
  <si>
    <t>&lt;r4&gt;</t>
  </si>
  <si>
    <t>&lt;If yes, then provide option for 1 to 4 retention levels and input fields for each retention, otherwise ask for R0&gt;</t>
  </si>
  <si>
    <t>&lt;R0 =</t>
  </si>
  <si>
    <t>See Setup 2</t>
  </si>
  <si>
    <t>Losses for current scenario</t>
  </si>
  <si>
    <t>YR1</t>
  </si>
  <si>
    <t>YR2</t>
  </si>
  <si>
    <t>YR3</t>
  </si>
  <si>
    <t>YR4</t>
  </si>
  <si>
    <t>YR5</t>
  </si>
  <si>
    <t>YR</t>
  </si>
  <si>
    <t>Payout 1</t>
  </si>
  <si>
    <t>Payout 2</t>
  </si>
  <si>
    <t>Payout 3</t>
  </si>
  <si>
    <t>Payout 4</t>
  </si>
  <si>
    <t>Payout 5</t>
  </si>
  <si>
    <t>Tot/YR</t>
  </si>
  <si>
    <t>Computation of paid for each year</t>
  </si>
  <si>
    <t>&lt;r0&gt;</t>
  </si>
  <si>
    <t>Income on Invested Assets</t>
  </si>
  <si>
    <t>Investment Yield on Invested Assets</t>
  </si>
  <si>
    <t>Cash &amp; Liquid Assets</t>
  </si>
  <si>
    <t>How to factor domicile constraints into analysis and show them</t>
  </si>
  <si>
    <t>Where to get domicile constraints  &gt;&gt; I think we don't want to try to maintain this list but instead let the user enter the constraints</t>
  </si>
  <si>
    <t>Scenario &gt;</t>
  </si>
  <si>
    <t>R1L2</t>
  </si>
  <si>
    <t>R1L3</t>
  </si>
  <si>
    <t>R1L4</t>
  </si>
  <si>
    <t>R2L1</t>
  </si>
  <si>
    <t>R2L2</t>
  </si>
  <si>
    <t>R2L3</t>
  </si>
  <si>
    <t>R2L4</t>
  </si>
  <si>
    <t>R2L5</t>
  </si>
  <si>
    <t>R1L5</t>
  </si>
  <si>
    <t>R3L1</t>
  </si>
  <si>
    <t>R3L2</t>
  </si>
  <si>
    <t>R3L3</t>
  </si>
  <si>
    <t>R3L4</t>
  </si>
  <si>
    <t>R3L5</t>
  </si>
  <si>
    <t>R4L1</t>
  </si>
  <si>
    <t>R4L2</t>
  </si>
  <si>
    <t>R4L3</t>
  </si>
  <si>
    <t>R4L4</t>
  </si>
  <si>
    <t>R4L5</t>
  </si>
  <si>
    <t>R1L1</t>
  </si>
  <si>
    <t>&lt; show user what the relationship was for the two historical years</t>
  </si>
  <si>
    <t>ERROR CHECKING &gt;&gt;&gt; Like dividends can't be less than zero… and there are probably several other similar constraints</t>
  </si>
  <si>
    <t>Retention used for Loss Projections</t>
  </si>
  <si>
    <t>&gt; This needs to be a pull down selection limited to the choices shown on xReserves</t>
  </si>
  <si>
    <t>I don't think this information (BELOW)  is being used.</t>
  </si>
  <si>
    <t>The Risk66 Strategic Risk Analysis generates a scenario specific 5 year proforma for workers compansation only captives (or similar entities).</t>
  </si>
  <si>
    <t>&lt;no&gt;</t>
  </si>
  <si>
    <t>4，8=7，10，12，13</t>
  </si>
  <si>
    <t xml:space="preserve">EST. CURR. RESERVE DEFICIENCY TO POLICYHOLDERS’ SURPLUS </t>
  </si>
  <si>
    <t>Reinsurance Ceded Commissions</t>
  </si>
  <si>
    <t>Surplus Aid to Policyholders’ Surplus</t>
  </si>
  <si>
    <t>Surplus Aid</t>
  </si>
  <si>
    <t>Gross Agents’ Balances (In Collection)</t>
  </si>
  <si>
    <t>Gross Agents’ Balances (in collection) to Policyholders’ Surplus</t>
  </si>
  <si>
    <t>Two-Year Loss Reserve Development</t>
  </si>
  <si>
    <t>Two-Year Reserve Development to Policyholders’ Surplus</t>
  </si>
  <si>
    <t>Loss &amp; LAE Reserves, Prior Year</t>
  </si>
  <si>
    <t>Loss &amp; LAE Reserves, Second Prior Year</t>
  </si>
  <si>
    <t>Premiums Earned, Prior Year</t>
  </si>
  <si>
    <t>Premiums Earned, Second Prior Year</t>
  </si>
  <si>
    <t>Gross Agents’ Balances (% of Cash &amp; Liquid Assets)</t>
  </si>
  <si>
    <t>Unearned Premiums</t>
  </si>
  <si>
    <t>Unearned Premiums (% of Net Earned Premiums)</t>
  </si>
  <si>
    <t>Reinsurance Ceded Commissions (% of Gross Written Premium if not running retention scenarios)</t>
  </si>
  <si>
    <t>13: E+F</t>
  </si>
  <si>
    <t>13: A+B</t>
  </si>
  <si>
    <t>13: D</t>
  </si>
  <si>
    <t>13: H</t>
  </si>
  <si>
    <t>13: Average Ratio of Reserves Average to Premiums</t>
  </si>
  <si>
    <t>13: Estimated Loss &amp; LAE Reserves Required</t>
  </si>
  <si>
    <t>13: K</t>
  </si>
  <si>
    <t>Estimated Current Reserve Deficiency to Policyholders’ Surplus</t>
  </si>
  <si>
    <t>13: Average Ratio of Reserves to Premiums</t>
  </si>
  <si>
    <t>Expected Investment Yield on Invested Assets</t>
  </si>
  <si>
    <t>Standard Devidation of Investment Yield on Invested Assets</t>
  </si>
  <si>
    <t>Simulated Investment Yield on Invested Assets (hide)</t>
  </si>
  <si>
    <t>E(L)=</t>
  </si>
  <si>
    <t>Var(L)=</t>
  </si>
  <si>
    <t>mu=</t>
  </si>
  <si>
    <t>sigma^2=</t>
  </si>
  <si>
    <t>sigma=</t>
  </si>
  <si>
    <t>Add to solvency criteria? (please check)</t>
  </si>
  <si>
    <t>Other Income</t>
  </si>
  <si>
    <t>Loss &amp; Allocated Loss Adjustment Expense, prior year</t>
  </si>
  <si>
    <t>Ratio 5 computation:</t>
  </si>
  <si>
    <t>A+B+C+D:</t>
  </si>
  <si>
    <t>Dividends, prior year</t>
  </si>
  <si>
    <t>E+F:</t>
  </si>
  <si>
    <t>O:</t>
  </si>
  <si>
    <t>G+H-I-J:</t>
  </si>
  <si>
    <t>Total Other Underwriting Expenses, prior year</t>
  </si>
  <si>
    <t>K+L:</t>
  </si>
  <si>
    <t>Other Income, prior year</t>
  </si>
  <si>
    <t>P:</t>
  </si>
  <si>
    <t>M+N:</t>
  </si>
  <si>
    <t>Total Investment Income, prior year</t>
  </si>
  <si>
    <t>Q:</t>
  </si>
  <si>
    <t>Two-Year Overall Operating Ratio</t>
  </si>
  <si>
    <t>Other Income (% of Total Assets)</t>
  </si>
  <si>
    <t>Change in Adjusted Policyholders' Surplus</t>
  </si>
  <si>
    <t>Probability</t>
  </si>
  <si>
    <t>Log Distribution</t>
  </si>
  <si>
    <t>Normal Distribution</t>
  </si>
  <si>
    <t>mu</t>
  </si>
  <si>
    <t>sigma</t>
  </si>
  <si>
    <t>Rand</t>
  </si>
  <si>
    <t>Additional Data</t>
  </si>
  <si>
    <t>USER</t>
  </si>
  <si>
    <t>Enter for individual years</t>
  </si>
  <si>
    <t>Output</t>
  </si>
  <si>
    <t>.</t>
  </si>
  <si>
    <t>ILF=</t>
  </si>
  <si>
    <t>Surplus to Net Premium</t>
  </si>
  <si>
    <t>Loss Ratio=</t>
  </si>
  <si>
    <t>1#</t>
    <phoneticPr fontId="26" type="noConversion"/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</si>
  <si>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</si>
  <si>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</si>
  <si>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</si>
  <si>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</si>
  <si>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</si>
  <si>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</si>
  <si>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</si>
  <si>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</si>
  <si>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</si>
  <si>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</si>
  <si>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</si>
  <si>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</si>
  <si>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</si>
  <si>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15#</t>
  </si>
  <si>
    <t>16#</t>
  </si>
  <si>
    <t>17#</t>
  </si>
  <si>
    <t>18#</t>
  </si>
  <si>
    <t>19#</t>
  </si>
  <si>
    <t>20#</t>
  </si>
  <si>
    <t>21#</t>
  </si>
  <si>
    <t>22#</t>
  </si>
  <si>
    <t>23#</t>
  </si>
  <si>
    <t>24#</t>
  </si>
  <si>
    <t>25#</t>
  </si>
  <si>
    <t>26#</t>
  </si>
  <si>
    <t>27#</t>
  </si>
  <si>
    <t>28#</t>
  </si>
  <si>
    <t>29#</t>
  </si>
  <si>
    <t>30#</t>
  </si>
  <si>
    <t>31#</t>
  </si>
  <si>
    <t>32#</t>
  </si>
  <si>
    <t>33#</t>
  </si>
  <si>
    <t>34#</t>
  </si>
  <si>
    <t>35#</t>
  </si>
  <si>
    <t>36#</t>
  </si>
  <si>
    <t>37#</t>
  </si>
  <si>
    <t>38#</t>
  </si>
  <si>
    <t>39#</t>
  </si>
  <si>
    <t>40#</t>
  </si>
  <si>
    <t>41#</t>
  </si>
  <si>
    <t>42#</t>
  </si>
  <si>
    <t>43#</t>
  </si>
  <si>
    <t>44#</t>
  </si>
  <si>
    <t>45#</t>
  </si>
  <si>
    <t>46#</t>
  </si>
  <si>
    <t>47#</t>
  </si>
  <si>
    <t>48#</t>
  </si>
  <si>
    <t>49#</t>
  </si>
  <si>
    <t>50#</t>
  </si>
  <si>
    <t>51#</t>
  </si>
  <si>
    <t>52#</t>
  </si>
  <si>
    <t>53#</t>
  </si>
  <si>
    <t>54#</t>
  </si>
  <si>
    <t>55#</t>
  </si>
  <si>
    <t>56#</t>
  </si>
  <si>
    <t>57#</t>
  </si>
  <si>
    <t>58#</t>
  </si>
  <si>
    <t>59#</t>
  </si>
  <si>
    <t>60#</t>
  </si>
  <si>
    <t>61#</t>
  </si>
  <si>
    <t>62#</t>
  </si>
  <si>
    <t>63#</t>
  </si>
  <si>
    <t>64#</t>
  </si>
  <si>
    <t>65#</t>
  </si>
  <si>
    <t>66#</t>
  </si>
  <si>
    <t>67#</t>
  </si>
  <si>
    <t>68#</t>
  </si>
  <si>
    <t>69#</t>
  </si>
  <si>
    <t>70#</t>
  </si>
  <si>
    <t>71#</t>
  </si>
  <si>
    <t>72#</t>
  </si>
  <si>
    <t>73#</t>
  </si>
  <si>
    <t>74#</t>
  </si>
  <si>
    <t>75#</t>
  </si>
  <si>
    <t>76#</t>
  </si>
  <si>
    <t>77#</t>
  </si>
  <si>
    <t>78#</t>
  </si>
  <si>
    <t>79#</t>
  </si>
  <si>
    <t>80#</t>
  </si>
  <si>
    <t>81#</t>
  </si>
  <si>
    <t>82#</t>
  </si>
  <si>
    <t>83#</t>
  </si>
  <si>
    <t>84#</t>
  </si>
  <si>
    <t>85#</t>
  </si>
  <si>
    <t>86#</t>
  </si>
  <si>
    <t>87#</t>
  </si>
  <si>
    <t>88#</t>
  </si>
  <si>
    <t>89#</t>
  </si>
  <si>
    <t>90#</t>
  </si>
  <si>
    <t>91#</t>
  </si>
  <si>
    <t>92#</t>
  </si>
  <si>
    <t>93#</t>
  </si>
  <si>
    <t>94#</t>
  </si>
  <si>
    <t>95#</t>
  </si>
  <si>
    <t>96#</t>
  </si>
  <si>
    <t>97#</t>
  </si>
  <si>
    <t>98#</t>
  </si>
  <si>
    <t>99#</t>
  </si>
  <si>
    <t>100#</t>
  </si>
  <si>
    <t>initial value</t>
    <phoneticPr fontId="26" type="noConversion"/>
  </si>
  <si>
    <t>No.times to get stable</t>
    <phoneticPr fontId="26" type="noConversion"/>
  </si>
  <si>
    <t>记录模拟100次数据，并最后会生成折线图，第几次时达到稳定结果显示在黄色框内</t>
    <phoneticPr fontId="26" type="noConversion"/>
  </si>
  <si>
    <t>Normal</t>
  </si>
  <si>
    <t>Select the type of distribution for individual loss severity</t>
  </si>
  <si>
    <t>Select the type of distribution for investment yield</t>
  </si>
  <si>
    <t>Lognormal</t>
  </si>
  <si>
    <t>Pareto</t>
  </si>
  <si>
    <t>Exponentail</t>
  </si>
  <si>
    <t>Gamma</t>
  </si>
  <si>
    <t>Select the type of distribution for claim frequency</t>
  </si>
  <si>
    <t>Poisson</t>
  </si>
  <si>
    <t>Negative Binomial</t>
  </si>
  <si>
    <t xml:space="preserve">Geometric </t>
  </si>
  <si>
    <t>k=</t>
  </si>
  <si>
    <t>σ=</t>
  </si>
  <si>
    <t>θ=</t>
  </si>
  <si>
    <t>Parameters for GPD of
your investment yield (left tail&lt;2.5 percentile). Default values will be used if no entry</t>
  </si>
  <si>
    <t>Parameters for Generalized Pareto Distribution (GPD) of
your loss severity distribution (right tail&gt;97.5 percentile). Default values will be used if no entry</t>
  </si>
  <si>
    <t>Parameters for GPD of
your investment yield (right tail&gt;97.5 percentile). Default values will be used if no entry</t>
  </si>
  <si>
    <t>Dates</t>
  </si>
  <si>
    <t>Claim severity</t>
  </si>
  <si>
    <t>Sum of severity</t>
  </si>
  <si>
    <t>Sum of claim</t>
  </si>
  <si>
    <t>Mean</t>
  </si>
  <si>
    <t>Row Labels</t>
  </si>
  <si>
    <t>Grand Total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</si>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</sst>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#,##0;\(#,##0\)"/>
    <numFmt numFmtId="166" formatCode="&quot;$&quot;#,##0;\(&quot;$&quot;#,##0\)"/>
    <numFmt numFmtId="167" formatCode="m/dd/yy"/>
    <numFmt numFmtId="168" formatCode="&quot;$&quot;#,##0"/>
    <numFmt numFmtId="169" formatCode="0.0%"/>
    <numFmt numFmtId="170" formatCode="_(&quot;$&quot;* #,##0_);_(&quot;$&quot;* \(#,##0\);_(&quot;$&quot;* &quot;-&quot;??_);_(@_)"/>
    <numFmt numFmtId="171" formatCode="0.000%"/>
    <numFmt numFmtId="172" formatCode="[$$-409]#,##0_);\([$$-409]#,##0\)"/>
    <numFmt numFmtId="173" formatCode="0.00000"/>
    <numFmt numFmtId="174" formatCode="0.000"/>
    <numFmt numFmtId="175" formatCode="0.0"/>
    <numFmt numFmtId="176" formatCode="mmmm\ yyyy"/>
    <numFmt numFmtId="177" formatCode="#,##0.00_ ;\-#,##0.00\ "/>
    <numFmt numFmtId="178" formatCode="#,##0_ ;\-#,##0\ "/>
    <numFmt numFmtId="179" formatCode=";;;"/>
    <numFmt numFmtId="180" formatCode="0.00_);[Red]\(0.00\)"/>
    <numFmt numFmtId="181" formatCode="#,##0.000000;\-#,##0.000000"/>
    <numFmt numFmtId="182" formatCode="#,##0.00000000;\-#,##0.00000000"/>
    <numFmt numFmtId="183" formatCode="0.0000000"/>
    <numFmt numFmtId="184" formatCode="_(* #,##0_);_(* \(#,##0\);_(* &quot;-&quot;??_);_(@_)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Times New Roman"/>
      <family val="1"/>
    </font>
    <font>
      <sz val="9"/>
      <name val="Arial"/>
      <family val="2"/>
    </font>
    <font>
      <b/>
      <i/>
      <sz val="9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name val="Verdana"/>
      <family val="2"/>
    </font>
    <font>
      <b/>
      <sz val="20"/>
      <color indexed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Calibri"/>
      <family val="2"/>
    </font>
    <font>
      <b/>
      <sz val="14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indexed="81"/>
      <name val="Tahom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Tahoma"/>
      <family val="2"/>
    </font>
    <font>
      <b/>
      <i/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8"/>
      <color theme="1"/>
      <name val="Tahoma"/>
      <family val="2"/>
    </font>
    <font>
      <b/>
      <sz val="12"/>
      <color theme="1"/>
      <name val="Tahoma"/>
      <family val="2"/>
    </font>
    <font>
      <b/>
      <sz val="22"/>
      <color theme="1"/>
      <name val="Calibri"/>
      <family val="2"/>
      <scheme val="minor"/>
    </font>
    <font>
      <sz val="8"/>
      <name val="Arial"/>
      <family val="2"/>
    </font>
    <font>
      <sz val="22"/>
      <name val="Calibri"/>
      <family val="2"/>
      <scheme val="minor"/>
    </font>
    <font>
      <sz val="10"/>
      <color indexed="60"/>
      <name val="Arial Unicode MS"/>
      <family val="2"/>
    </font>
    <font>
      <b/>
      <sz val="24"/>
      <color indexed="60"/>
      <name val="Bodoni MT Condensed"/>
      <family val="1"/>
    </font>
    <font>
      <b/>
      <sz val="16"/>
      <color theme="1"/>
      <name val="Calibri"/>
      <family val="2"/>
      <scheme val="minor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sz val="8"/>
      <name val="Franklin Gothic Demi"/>
      <family val="2"/>
    </font>
    <font>
      <sz val="6"/>
      <name val="Arial"/>
      <family val="2"/>
    </font>
    <font>
      <b/>
      <sz val="18"/>
      <name val="Bodoni MT Condensed"/>
      <family val="1"/>
    </font>
    <font>
      <b/>
      <sz val="14"/>
      <color indexed="10"/>
      <name val="Arial"/>
      <family val="2"/>
    </font>
    <font>
      <b/>
      <sz val="18"/>
      <color indexed="60"/>
      <name val="Bodoni MT Condensed"/>
      <family val="1"/>
    </font>
    <font>
      <sz val="8"/>
      <color rgb="FFFF0000"/>
      <name val="Franklin Gothic Demi"/>
      <family val="2"/>
    </font>
    <font>
      <sz val="9"/>
      <name val="Calibri"/>
      <family val="3"/>
      <charset val="134"/>
      <scheme val="minor"/>
    </font>
    <font>
      <sz val="1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DCDFF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rgb="FFB7B7FF"/>
      </patternFill>
    </fill>
    <fill>
      <patternFill patternType="solid">
        <fgColor rgb="FFBECDF6"/>
        <bgColor indexed="64"/>
      </patternFill>
    </fill>
    <fill>
      <patternFill patternType="solid">
        <fgColor indexed="9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12">
    <xf numFmtId="0" fontId="0" fillId="0" borderId="0"/>
    <xf numFmtId="43" fontId="1" fillId="0" borderId="0" applyFont="0" applyFill="0" applyBorder="0" applyAlignment="0" applyProtection="0"/>
    <xf numFmtId="165" fontId="3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3" fillId="0" borderId="0"/>
    <xf numFmtId="165" fontId="6" fillId="0" borderId="0">
      <alignment horizontal="left"/>
    </xf>
    <xf numFmtId="165" fontId="2" fillId="0" borderId="0">
      <alignment horizontal="left"/>
    </xf>
    <xf numFmtId="165" fontId="4" fillId="0" borderId="0">
      <alignment horizontal="left"/>
    </xf>
    <xf numFmtId="9" fontId="5" fillId="0" borderId="0" applyFont="0" applyFill="0" applyBorder="0" applyAlignment="0" applyProtection="0"/>
    <xf numFmtId="1" fontId="3" fillId="0" borderId="0" applyFill="0" applyBorder="0" applyProtection="0">
      <alignment horizontal="left"/>
    </xf>
    <xf numFmtId="0" fontId="7" fillId="0" borderId="0"/>
    <xf numFmtId="43" fontId="8" fillId="0" borderId="0" applyFont="0" applyFill="0" applyBorder="0" applyAlignment="0" applyProtection="0"/>
    <xf numFmtId="37" fontId="9" fillId="0" borderId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7" fontId="11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1" fillId="4" borderId="0" applyNumberFormat="0" applyBorder="0" applyAlignment="0" applyProtection="0"/>
    <xf numFmtId="44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54" fillId="0" borderId="0"/>
  </cellStyleXfs>
  <cellXfs count="344">
    <xf numFmtId="0" fontId="0" fillId="0" borderId="0" xfId="0"/>
    <xf numFmtId="0" fontId="27" fillId="0" borderId="0" xfId="0" applyFont="1"/>
    <xf numFmtId="3" fontId="0" fillId="0" borderId="0" xfId="0" applyNumberFormat="1"/>
    <xf numFmtId="9" fontId="0" fillId="0" borderId="0" xfId="0" applyNumberFormat="1"/>
    <xf numFmtId="0" fontId="0" fillId="0" borderId="0" xfId="0" applyAlignment="1">
      <alignment horizontal="right"/>
    </xf>
    <xf numFmtId="0" fontId="12" fillId="0" borderId="0" xfId="0" applyFont="1"/>
    <xf numFmtId="0" fontId="14" fillId="0" borderId="0" xfId="0" applyFont="1"/>
    <xf numFmtId="0" fontId="0" fillId="0" borderId="0" xfId="0"/>
    <xf numFmtId="0" fontId="13" fillId="0" borderId="0" xfId="1" applyNumberFormat="1" applyFont="1" applyAlignment="1">
      <alignment horizontal="center"/>
    </xf>
    <xf numFmtId="0" fontId="14" fillId="0" borderId="0" xfId="0" applyFont="1" applyAlignment="1">
      <alignment horizontal="center"/>
    </xf>
    <xf numFmtId="14" fontId="13" fillId="0" borderId="0" xfId="1" applyNumberFormat="1" applyFont="1" applyAlignment="1">
      <alignment horizontal="center"/>
    </xf>
    <xf numFmtId="0" fontId="17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13" fillId="0" borderId="0" xfId="0" applyFont="1" applyAlignment="1">
      <alignment horizontal="center"/>
    </xf>
    <xf numFmtId="0" fontId="13" fillId="0" borderId="3" xfId="0" applyFont="1" applyBorder="1" applyAlignment="1">
      <alignment horizontal="center"/>
    </xf>
    <xf numFmtId="9" fontId="0" fillId="0" borderId="2" xfId="22" applyFont="1" applyBorder="1"/>
    <xf numFmtId="43" fontId="0" fillId="3" borderId="2" xfId="1" applyFont="1" applyFill="1" applyBorder="1"/>
    <xf numFmtId="9" fontId="0" fillId="0" borderId="0" xfId="22" applyFont="1"/>
    <xf numFmtId="0" fontId="0" fillId="0" borderId="0" xfId="0" quotePrefix="1" applyAlignment="1">
      <alignment horizontal="right"/>
    </xf>
    <xf numFmtId="0" fontId="19" fillId="0" borderId="0" xfId="0" applyFont="1"/>
    <xf numFmtId="0" fontId="20" fillId="0" borderId="0" xfId="0" applyFont="1"/>
    <xf numFmtId="0" fontId="19" fillId="0" borderId="0" xfId="0" applyFont="1" applyAlignment="1">
      <alignment horizontal="center"/>
    </xf>
    <xf numFmtId="0" fontId="0" fillId="3" borderId="0" xfId="0" applyFill="1"/>
    <xf numFmtId="9" fontId="0" fillId="3" borderId="2" xfId="22" applyFont="1" applyFill="1" applyBorder="1"/>
    <xf numFmtId="9" fontId="0" fillId="0" borderId="2" xfId="22" applyFont="1" applyBorder="1"/>
    <xf numFmtId="168" fontId="0" fillId="0" borderId="0" xfId="0" applyNumberFormat="1"/>
    <xf numFmtId="0" fontId="0" fillId="0" borderId="7" xfId="0" applyBorder="1"/>
    <xf numFmtId="0" fontId="18" fillId="0" borderId="7" xfId="0" applyFont="1" applyBorder="1" applyAlignment="1">
      <alignment horizontal="center"/>
    </xf>
    <xf numFmtId="9" fontId="0" fillId="3" borderId="0" xfId="0" applyNumberFormat="1" applyFill="1"/>
    <xf numFmtId="0" fontId="0" fillId="3" borderId="0" xfId="0" applyFill="1"/>
    <xf numFmtId="0" fontId="0" fillId="0" borderId="7" xfId="0" applyBorder="1"/>
    <xf numFmtId="0" fontId="14" fillId="0" borderId="7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37" fontId="22" fillId="0" borderId="0" xfId="13" applyFont="1"/>
    <xf numFmtId="37" fontId="22" fillId="0" borderId="0" xfId="13" applyFont="1" applyAlignment="1">
      <alignment horizontal="center" wrapText="1"/>
    </xf>
    <xf numFmtId="0" fontId="23" fillId="0" borderId="0" xfId="0" applyFont="1"/>
    <xf numFmtId="9" fontId="22" fillId="0" borderId="0" xfId="22" applyFont="1"/>
    <xf numFmtId="169" fontId="22" fillId="0" borderId="0" xfId="22" applyNumberFormat="1" applyFont="1"/>
    <xf numFmtId="0" fontId="24" fillId="0" borderId="0" xfId="1" applyNumberFormat="1" applyFont="1" applyAlignment="1">
      <alignment horizontal="center"/>
    </xf>
    <xf numFmtId="37" fontId="24" fillId="0" borderId="0" xfId="13" applyFont="1" applyAlignment="1">
      <alignment horizontal="center"/>
    </xf>
    <xf numFmtId="0" fontId="12" fillId="3" borderId="0" xfId="0" applyFont="1" applyFill="1"/>
    <xf numFmtId="0" fontId="0" fillId="0" borderId="0" xfId="0" applyAlignment="1">
      <alignment horizontal="center" wrapText="1"/>
    </xf>
    <xf numFmtId="0" fontId="25" fillId="0" borderId="0" xfId="0" applyFont="1"/>
    <xf numFmtId="6" fontId="0" fillId="0" borderId="0" xfId="0" quotePrefix="1" applyNumberFormat="1"/>
    <xf numFmtId="0" fontId="0" fillId="0" borderId="0" xfId="0" quotePrefix="1"/>
    <xf numFmtId="37" fontId="21" fillId="0" borderId="0" xfId="23" applyNumberFormat="1" applyFill="1"/>
    <xf numFmtId="0" fontId="24" fillId="3" borderId="0" xfId="1" applyNumberFormat="1" applyFont="1" applyFill="1" applyAlignment="1">
      <alignment horizontal="center"/>
    </xf>
    <xf numFmtId="0" fontId="24" fillId="3" borderId="15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right"/>
    </xf>
    <xf numFmtId="0" fontId="0" fillId="0" borderId="7" xfId="0" applyBorder="1" applyAlignment="1">
      <alignment horizontal="center"/>
    </xf>
    <xf numFmtId="0" fontId="0" fillId="0" borderId="1" xfId="0" applyBorder="1"/>
    <xf numFmtId="169" fontId="0" fillId="0" borderId="0" xfId="22" applyNumberFormat="1" applyFont="1"/>
    <xf numFmtId="169" fontId="0" fillId="3" borderId="0" xfId="22" applyNumberFormat="1" applyFont="1" applyFill="1"/>
    <xf numFmtId="0" fontId="0" fillId="2" borderId="0" xfId="0" applyFill="1"/>
    <xf numFmtId="0" fontId="0" fillId="2" borderId="2" xfId="0" applyFill="1" applyBorder="1"/>
    <xf numFmtId="9" fontId="22" fillId="2" borderId="8" xfId="22" applyFont="1" applyFill="1" applyBorder="1"/>
    <xf numFmtId="169" fontId="22" fillId="2" borderId="8" xfId="22" applyNumberFormat="1" applyFont="1" applyFill="1" applyBorder="1"/>
    <xf numFmtId="169" fontId="22" fillId="2" borderId="8" xfId="22" applyNumberFormat="1" applyFont="1" applyFill="1" applyBorder="1" applyAlignment="1">
      <alignment horizontal="right"/>
    </xf>
    <xf numFmtId="0" fontId="0" fillId="5" borderId="0" xfId="0" applyFill="1"/>
    <xf numFmtId="0" fontId="18" fillId="0" borderId="0" xfId="0" applyFont="1" applyAlignment="1">
      <alignment horizontal="center"/>
    </xf>
    <xf numFmtId="9" fontId="0" fillId="0" borderId="16" xfId="22" applyFont="1" applyBorder="1"/>
    <xf numFmtId="9" fontId="0" fillId="0" borderId="17" xfId="22" applyFont="1" applyBorder="1" applyAlignment="1">
      <alignment horizontal="center"/>
    </xf>
    <xf numFmtId="9" fontId="0" fillId="0" borderId="19" xfId="22" applyFont="1" applyBorder="1" applyAlignment="1">
      <alignment horizontal="center"/>
    </xf>
    <xf numFmtId="0" fontId="0" fillId="0" borderId="18" xfId="0" applyBorder="1" applyAlignment="1">
      <alignment horizontal="center"/>
    </xf>
    <xf numFmtId="170" fontId="0" fillId="0" borderId="17" xfId="24" applyNumberFormat="1" applyFont="1" applyBorder="1" applyAlignment="1">
      <alignment horizontal="center"/>
    </xf>
    <xf numFmtId="170" fontId="0" fillId="0" borderId="19" xfId="24" applyNumberFormat="1" applyFont="1" applyBorder="1" applyAlignment="1">
      <alignment horizontal="center"/>
    </xf>
    <xf numFmtId="170" fontId="0" fillId="2" borderId="0" xfId="24" applyNumberFormat="1" applyFont="1" applyFill="1"/>
    <xf numFmtId="9" fontId="0" fillId="0" borderId="0" xfId="9" applyFont="1"/>
    <xf numFmtId="165" fontId="0" fillId="0" borderId="0" xfId="0" applyNumberFormat="1"/>
    <xf numFmtId="9" fontId="0" fillId="0" borderId="0" xfId="22" applyFont="1" applyAlignment="1">
      <alignment horizontal="right"/>
    </xf>
    <xf numFmtId="170" fontId="0" fillId="0" borderId="0" xfId="24" applyNumberFormat="1" applyFont="1"/>
    <xf numFmtId="170" fontId="0" fillId="6" borderId="0" xfId="24" applyNumberFormat="1" applyFont="1" applyFill="1"/>
    <xf numFmtId="170" fontId="0" fillId="0" borderId="0" xfId="0" applyNumberFormat="1"/>
    <xf numFmtId="0" fontId="32" fillId="0" borderId="0" xfId="0" applyFont="1"/>
    <xf numFmtId="172" fontId="33" fillId="0" borderId="0" xfId="0" applyNumberFormat="1" applyFont="1" applyAlignment="1">
      <alignment horizontal="center"/>
    </xf>
    <xf numFmtId="170" fontId="14" fillId="0" borderId="0" xfId="24" applyNumberFormat="1" applyFont="1"/>
    <xf numFmtId="168" fontId="14" fillId="0" borderId="0" xfId="24" applyNumberFormat="1" applyFont="1" applyAlignment="1">
      <alignment horizontal="center"/>
    </xf>
    <xf numFmtId="3" fontId="14" fillId="0" borderId="0" xfId="0" applyNumberFormat="1" applyFont="1" applyAlignment="1">
      <alignment horizontal="center"/>
    </xf>
    <xf numFmtId="168" fontId="14" fillId="0" borderId="0" xfId="0" applyNumberFormat="1" applyFont="1" applyAlignment="1">
      <alignment horizontal="center"/>
    </xf>
    <xf numFmtId="0" fontId="13" fillId="0" borderId="12" xfId="0" applyFont="1" applyBorder="1"/>
    <xf numFmtId="171" fontId="0" fillId="0" borderId="2" xfId="0" applyNumberFormat="1" applyBorder="1"/>
    <xf numFmtId="171" fontId="0" fillId="0" borderId="0" xfId="0" applyNumberFormat="1" applyAlignment="1">
      <alignment horizontal="right"/>
    </xf>
    <xf numFmtId="173" fontId="0" fillId="0" borderId="0" xfId="0" applyNumberFormat="1"/>
    <xf numFmtId="9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1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0" fillId="6" borderId="0" xfId="0" applyFill="1"/>
    <xf numFmtId="0" fontId="0" fillId="0" borderId="0" xfId="0" applyAlignment="1">
      <alignment horizontal="center"/>
    </xf>
    <xf numFmtId="165" fontId="35" fillId="0" borderId="0" xfId="0" applyNumberFormat="1" applyFont="1" applyAlignment="1">
      <alignment horizontal="center"/>
    </xf>
    <xf numFmtId="10" fontId="0" fillId="0" borderId="0" xfId="22" applyNumberFormat="1" applyFont="1"/>
    <xf numFmtId="10" fontId="0" fillId="0" borderId="0" xfId="0" applyNumberFormat="1"/>
    <xf numFmtId="0" fontId="35" fillId="0" borderId="0" xfId="0" applyFont="1" applyAlignment="1">
      <alignment horizontal="center"/>
    </xf>
    <xf numFmtId="9" fontId="0" fillId="0" borderId="0" xfId="22" applyFont="1"/>
    <xf numFmtId="0" fontId="13" fillId="0" borderId="0" xfId="0" applyFont="1" applyAlignment="1">
      <alignment horizontal="center"/>
    </xf>
    <xf numFmtId="14" fontId="0" fillId="0" borderId="0" xfId="0" applyNumberFormat="1"/>
    <xf numFmtId="165" fontId="0" fillId="0" borderId="1" xfId="0" applyNumberFormat="1" applyBorder="1"/>
    <xf numFmtId="10" fontId="0" fillId="0" borderId="1" xfId="22" applyNumberFormat="1" applyFont="1" applyBorder="1"/>
    <xf numFmtId="0" fontId="39" fillId="0" borderId="0" xfId="0" applyFont="1"/>
    <xf numFmtId="0" fontId="0" fillId="0" borderId="0" xfId="0" applyNumberFormat="1"/>
    <xf numFmtId="0" fontId="0" fillId="0" borderId="0" xfId="0" applyBorder="1"/>
    <xf numFmtId="0" fontId="0" fillId="0" borderId="7" xfId="0" applyFont="1" applyBorder="1"/>
    <xf numFmtId="0" fontId="0" fillId="0" borderId="7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0" xfId="0" applyFill="1"/>
    <xf numFmtId="0" fontId="0" fillId="0" borderId="0" xfId="0" applyFill="1"/>
    <xf numFmtId="0" fontId="0" fillId="0" borderId="0" xfId="0" applyFill="1" applyBorder="1"/>
    <xf numFmtId="169" fontId="0" fillId="0" borderId="0" xfId="22" applyNumberFormat="1" applyFont="1" applyFill="1"/>
    <xf numFmtId="0" fontId="0" fillId="5" borderId="0" xfId="0" applyFill="1"/>
    <xf numFmtId="0" fontId="0" fillId="7" borderId="0" xfId="0" applyFill="1"/>
    <xf numFmtId="10" fontId="0" fillId="7" borderId="0" xfId="22" applyNumberFormat="1" applyFont="1" applyFill="1"/>
    <xf numFmtId="0" fontId="0" fillId="8" borderId="0" xfId="0" applyFill="1"/>
    <xf numFmtId="20" fontId="0" fillId="0" borderId="0" xfId="0" applyNumberFormat="1"/>
    <xf numFmtId="44" fontId="0" fillId="0" borderId="0" xfId="0" applyNumberFormat="1"/>
    <xf numFmtId="44" fontId="0" fillId="8" borderId="0" xfId="0" applyNumberFormat="1" applyFill="1"/>
    <xf numFmtId="169" fontId="22" fillId="0" borderId="0" xfId="22" applyNumberFormat="1" applyFont="1" applyFill="1"/>
    <xf numFmtId="169" fontId="22" fillId="0" borderId="0" xfId="22" applyNumberFormat="1" applyFont="1" applyFill="1" applyBorder="1"/>
    <xf numFmtId="37" fontId="22" fillId="0" borderId="0" xfId="13" applyFont="1" applyFill="1"/>
    <xf numFmtId="0" fontId="0" fillId="0" borderId="20" xfId="0" applyBorder="1"/>
    <xf numFmtId="170" fontId="22" fillId="0" borderId="0" xfId="24" applyNumberFormat="1" applyFont="1" applyFill="1" applyBorder="1"/>
    <xf numFmtId="44" fontId="0" fillId="0" borderId="0" xfId="24" applyNumberFormat="1" applyFont="1"/>
    <xf numFmtId="170" fontId="0" fillId="0" borderId="0" xfId="24" applyNumberFormat="1" applyFont="1" applyFill="1"/>
    <xf numFmtId="2" fontId="22" fillId="5" borderId="0" xfId="22" applyNumberFormat="1" applyFont="1" applyFill="1" applyBorder="1" applyAlignment="1"/>
    <xf numFmtId="0" fontId="0" fillId="5" borderId="0" xfId="0" applyFill="1" applyAlignment="1"/>
    <xf numFmtId="9" fontId="22" fillId="0" borderId="0" xfId="22" applyFont="1" applyFill="1" applyBorder="1"/>
    <xf numFmtId="9" fontId="22" fillId="0" borderId="0" xfId="22" applyFont="1" applyFill="1"/>
    <xf numFmtId="2" fontId="22" fillId="0" borderId="0" xfId="24" applyNumberFormat="1" applyFont="1" applyFill="1" applyBorder="1"/>
    <xf numFmtId="174" fontId="22" fillId="0" borderId="0" xfId="24" applyNumberFormat="1" applyFont="1" applyFill="1" applyBorder="1"/>
    <xf numFmtId="0" fontId="22" fillId="0" borderId="0" xfId="24" applyNumberFormat="1" applyFont="1" applyFill="1" applyBorder="1"/>
    <xf numFmtId="175" fontId="22" fillId="0" borderId="0" xfId="24" applyNumberFormat="1" applyFont="1" applyFill="1" applyBorder="1"/>
    <xf numFmtId="0" fontId="45" fillId="0" borderId="0" xfId="0" applyFont="1" applyAlignment="1">
      <alignment horizontal="center" vertical="center"/>
    </xf>
    <xf numFmtId="0" fontId="0" fillId="5" borderId="0" xfId="0" quotePrefix="1" applyFill="1"/>
    <xf numFmtId="0" fontId="0" fillId="0" borderId="21" xfId="0" applyBorder="1"/>
    <xf numFmtId="0" fontId="0" fillId="0" borderId="22" xfId="0" applyBorder="1"/>
    <xf numFmtId="0" fontId="0" fillId="0" borderId="22" xfId="0" applyBorder="1"/>
    <xf numFmtId="0" fontId="0" fillId="0" borderId="23" xfId="0" applyBorder="1"/>
    <xf numFmtId="0" fontId="0" fillId="0" borderId="20" xfId="0" applyBorder="1"/>
    <xf numFmtId="0" fontId="0" fillId="0" borderId="0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6" xfId="0" applyBorder="1"/>
    <xf numFmtId="0" fontId="0" fillId="0" borderId="27" xfId="0" applyBorder="1"/>
    <xf numFmtId="9" fontId="0" fillId="0" borderId="0" xfId="22" applyFont="1" applyBorder="1"/>
    <xf numFmtId="9" fontId="0" fillId="0" borderId="0" xfId="0" applyNumberFormat="1" applyBorder="1"/>
    <xf numFmtId="9" fontId="0" fillId="0" borderId="24" xfId="22" applyFont="1" applyBorder="1"/>
    <xf numFmtId="9" fontId="0" fillId="0" borderId="24" xfId="0" applyNumberFormat="1" applyBorder="1"/>
    <xf numFmtId="169" fontId="0" fillId="0" borderId="0" xfId="0" applyNumberFormat="1"/>
    <xf numFmtId="2" fontId="0" fillId="0" borderId="0" xfId="0" applyNumberFormat="1"/>
    <xf numFmtId="4" fontId="0" fillId="9" borderId="0" xfId="0" applyNumberFormat="1" applyFill="1" applyAlignment="1">
      <alignment horizontal="center"/>
    </xf>
    <xf numFmtId="4" fontId="0" fillId="2" borderId="0" xfId="0" applyNumberFormat="1" applyFill="1"/>
    <xf numFmtId="10" fontId="22" fillId="0" borderId="0" xfId="13" applyNumberFormat="1" applyFont="1"/>
    <xf numFmtId="37" fontId="46" fillId="0" borderId="0" xfId="13" applyFont="1"/>
    <xf numFmtId="0" fontId="45" fillId="0" borderId="0" xfId="0" applyFont="1"/>
    <xf numFmtId="10" fontId="47" fillId="0" borderId="0" xfId="0" applyNumberFormat="1" applyFont="1"/>
    <xf numFmtId="10" fontId="45" fillId="0" borderId="0" xfId="0" applyNumberFormat="1" applyFont="1"/>
    <xf numFmtId="10" fontId="46" fillId="0" borderId="0" xfId="13" applyNumberFormat="1" applyFont="1"/>
    <xf numFmtId="0" fontId="45" fillId="7" borderId="0" xfId="0" applyFont="1" applyFill="1" applyAlignment="1">
      <alignment horizontal="right"/>
    </xf>
    <xf numFmtId="0" fontId="45" fillId="7" borderId="0" xfId="0" applyFont="1" applyFill="1"/>
    <xf numFmtId="37" fontId="46" fillId="7" borderId="0" xfId="13" applyFont="1" applyFill="1" applyAlignment="1">
      <alignment horizontal="right"/>
    </xf>
    <xf numFmtId="37" fontId="46" fillId="7" borderId="0" xfId="13" applyFont="1" applyFill="1"/>
    <xf numFmtId="10" fontId="45" fillId="2" borderId="28" xfId="0" quotePrefix="1" applyNumberFormat="1" applyFont="1" applyFill="1" applyBorder="1"/>
    <xf numFmtId="10" fontId="45" fillId="3" borderId="9" xfId="0" applyNumberFormat="1" applyFont="1" applyFill="1" applyBorder="1"/>
    <xf numFmtId="10" fontId="45" fillId="2" borderId="10" xfId="0" applyNumberFormat="1" applyFont="1" applyFill="1" applyBorder="1"/>
    <xf numFmtId="10" fontId="45" fillId="3" borderId="12" xfId="0" applyNumberFormat="1" applyFont="1" applyFill="1" applyBorder="1"/>
    <xf numFmtId="10" fontId="45" fillId="2" borderId="13" xfId="0" applyNumberFormat="1" applyFont="1" applyFill="1" applyBorder="1"/>
    <xf numFmtId="10" fontId="47" fillId="2" borderId="11" xfId="0" applyNumberFormat="1" applyFont="1" applyFill="1" applyBorder="1"/>
    <xf numFmtId="10" fontId="47" fillId="3" borderId="12" xfId="0" applyNumberFormat="1" applyFont="1" applyFill="1" applyBorder="1"/>
    <xf numFmtId="10" fontId="47" fillId="2" borderId="13" xfId="0" applyNumberFormat="1" applyFont="1" applyFill="1" applyBorder="1"/>
    <xf numFmtId="10" fontId="45" fillId="2" borderId="11" xfId="0" applyNumberFormat="1" applyFont="1" applyFill="1" applyBorder="1"/>
    <xf numFmtId="10" fontId="22" fillId="2" borderId="11" xfId="22" applyNumberFormat="1" applyFont="1" applyFill="1" applyBorder="1"/>
    <xf numFmtId="10" fontId="22" fillId="3" borderId="14" xfId="22" applyNumberFormat="1" applyFont="1" applyFill="1" applyBorder="1"/>
    <xf numFmtId="10" fontId="22" fillId="2" borderId="13" xfId="22" applyNumberFormat="1" applyFont="1" applyFill="1" applyBorder="1"/>
    <xf numFmtId="10" fontId="46" fillId="3" borderId="0" xfId="22" applyNumberFormat="1" applyFont="1" applyFill="1" applyBorder="1"/>
    <xf numFmtId="10" fontId="46" fillId="2" borderId="13" xfId="22" applyNumberFormat="1" applyFont="1" applyFill="1" applyBorder="1"/>
    <xf numFmtId="0" fontId="48" fillId="10" borderId="0" xfId="0" applyFont="1" applyFill="1" applyProtection="1"/>
    <xf numFmtId="0" fontId="0" fillId="10" borderId="0" xfId="0" applyFill="1"/>
    <xf numFmtId="0" fontId="0" fillId="10" borderId="0" xfId="0" applyFill="1"/>
    <xf numFmtId="0" fontId="0" fillId="10" borderId="7" xfId="0" applyFont="1" applyFill="1" applyBorder="1"/>
    <xf numFmtId="0" fontId="14" fillId="10" borderId="0" xfId="0" applyFont="1" applyFill="1"/>
    <xf numFmtId="0" fontId="13" fillId="10" borderId="0" xfId="1" applyNumberFormat="1" applyFont="1" applyFill="1" applyAlignment="1">
      <alignment horizontal="center"/>
    </xf>
    <xf numFmtId="0" fontId="49" fillId="10" borderId="0" xfId="0" applyFont="1" applyFill="1" applyProtection="1"/>
    <xf numFmtId="0" fontId="12" fillId="3" borderId="0" xfId="0" applyFont="1" applyFill="1" applyProtection="1"/>
    <xf numFmtId="0" fontId="13" fillId="10" borderId="7" xfId="0" applyFont="1" applyFill="1" applyBorder="1" applyAlignment="1" applyProtection="1">
      <alignment horizontal="center"/>
    </xf>
    <xf numFmtId="0" fontId="45" fillId="10" borderId="0" xfId="0" applyFont="1" applyFill="1"/>
    <xf numFmtId="42" fontId="0" fillId="11" borderId="12" xfId="0" applyNumberFormat="1" applyFill="1" applyBorder="1" applyProtection="1">
      <protection locked="0"/>
    </xf>
    <xf numFmtId="42" fontId="0" fillId="11" borderId="12" xfId="0" applyNumberFormat="1" applyFill="1" applyBorder="1"/>
    <xf numFmtId="42" fontId="0" fillId="10" borderId="0" xfId="0" applyNumberFormat="1" applyFill="1"/>
    <xf numFmtId="42" fontId="48" fillId="10" borderId="0" xfId="0" applyNumberFormat="1" applyFont="1" applyFill="1" applyProtection="1"/>
    <xf numFmtId="0" fontId="50" fillId="10" borderId="0" xfId="0" applyFont="1" applyFill="1" applyProtection="1"/>
    <xf numFmtId="42" fontId="50" fillId="10" borderId="0" xfId="0" applyNumberFormat="1" applyFont="1" applyFill="1" applyProtection="1"/>
    <xf numFmtId="0" fontId="0" fillId="10" borderId="7" xfId="0" applyFill="1" applyBorder="1"/>
    <xf numFmtId="0" fontId="18" fillId="10" borderId="7" xfId="0" applyFont="1" applyFill="1" applyBorder="1" applyAlignment="1">
      <alignment horizontal="center"/>
    </xf>
    <xf numFmtId="14" fontId="13" fillId="10" borderId="0" xfId="1" applyNumberFormat="1" applyFont="1" applyFill="1" applyAlignment="1">
      <alignment horizontal="center"/>
    </xf>
    <xf numFmtId="42" fontId="0" fillId="11" borderId="12" xfId="0" applyNumberFormat="1" applyFont="1" applyFill="1" applyBorder="1" applyProtection="1">
      <protection locked="0"/>
    </xf>
    <xf numFmtId="42" fontId="0" fillId="10" borderId="0" xfId="0" applyNumberFormat="1" applyFill="1" applyProtection="1"/>
    <xf numFmtId="0" fontId="0" fillId="10" borderId="0" xfId="0" applyFill="1" applyBorder="1"/>
    <xf numFmtId="169" fontId="0" fillId="10" borderId="0" xfId="22" applyNumberFormat="1" applyFont="1" applyFill="1"/>
    <xf numFmtId="170" fontId="0" fillId="10" borderId="0" xfId="24" applyNumberFormat="1" applyFont="1" applyFill="1"/>
    <xf numFmtId="0" fontId="0" fillId="3" borderId="0" xfId="0" applyFill="1" applyProtection="1"/>
    <xf numFmtId="42" fontId="0" fillId="3" borderId="0" xfId="0" applyNumberFormat="1" applyFill="1" applyProtection="1"/>
    <xf numFmtId="0" fontId="13" fillId="10" borderId="7" xfId="0" applyFont="1" applyFill="1" applyBorder="1" applyAlignment="1">
      <alignment horizontal="center"/>
    </xf>
    <xf numFmtId="0" fontId="48" fillId="10" borderId="0" xfId="0" applyFont="1" applyFill="1"/>
    <xf numFmtId="0" fontId="49" fillId="10" borderId="0" xfId="0" applyFont="1" applyFill="1"/>
    <xf numFmtId="0" fontId="12" fillId="10" borderId="0" xfId="0" applyFont="1" applyFill="1"/>
    <xf numFmtId="0" fontId="14" fillId="10" borderId="7" xfId="0" applyFont="1" applyFill="1" applyBorder="1" applyAlignment="1">
      <alignment horizontal="center"/>
    </xf>
    <xf numFmtId="0" fontId="19" fillId="10" borderId="0" xfId="0" applyFont="1" applyFill="1"/>
    <xf numFmtId="0" fontId="0" fillId="12" borderId="0" xfId="0" applyFill="1"/>
    <xf numFmtId="0" fontId="51" fillId="10" borderId="0" xfId="0" applyFont="1" applyFill="1" applyProtection="1"/>
    <xf numFmtId="0" fontId="0" fillId="10" borderId="0" xfId="0" applyFill="1" applyProtection="1"/>
    <xf numFmtId="37" fontId="22" fillId="10" borderId="0" xfId="13" applyFont="1" applyFill="1"/>
    <xf numFmtId="37" fontId="24" fillId="10" borderId="0" xfId="13" applyFont="1" applyFill="1" applyAlignment="1">
      <alignment horizontal="center"/>
    </xf>
    <xf numFmtId="37" fontId="22" fillId="10" borderId="0" xfId="13" applyFont="1" applyFill="1" applyAlignment="1">
      <alignment horizontal="center" wrapText="1"/>
    </xf>
    <xf numFmtId="0" fontId="24" fillId="10" borderId="0" xfId="1" applyNumberFormat="1" applyFont="1" applyFill="1" applyAlignment="1">
      <alignment horizontal="center"/>
    </xf>
    <xf numFmtId="169" fontId="22" fillId="10" borderId="0" xfId="22" applyNumberFormat="1" applyFont="1" applyFill="1"/>
    <xf numFmtId="169" fontId="22" fillId="10" borderId="0" xfId="22" applyNumberFormat="1" applyFont="1" applyFill="1" applyBorder="1"/>
    <xf numFmtId="9" fontId="22" fillId="10" borderId="0" xfId="22" applyFont="1" applyFill="1"/>
    <xf numFmtId="9" fontId="22" fillId="10" borderId="0" xfId="22" applyFont="1" applyFill="1" applyBorder="1"/>
    <xf numFmtId="169" fontId="22" fillId="11" borderId="8" xfId="22" applyNumberFormat="1" applyFont="1" applyFill="1" applyBorder="1"/>
    <xf numFmtId="169" fontId="22" fillId="11" borderId="8" xfId="22" applyNumberFormat="1" applyFont="1" applyFill="1" applyBorder="1" applyAlignment="1">
      <alignment horizontal="right"/>
    </xf>
    <xf numFmtId="0" fontId="24" fillId="10" borderId="29" xfId="1" applyNumberFormat="1" applyFont="1" applyFill="1" applyBorder="1" applyAlignment="1">
      <alignment horizontal="center"/>
    </xf>
    <xf numFmtId="9" fontId="22" fillId="11" borderId="8" xfId="22" applyFont="1" applyFill="1" applyBorder="1"/>
    <xf numFmtId="0" fontId="14" fillId="10" borderId="0" xfId="0" applyFont="1" applyFill="1" applyProtection="1"/>
    <xf numFmtId="9" fontId="0" fillId="0" borderId="12" xfId="0" applyNumberFormat="1" applyFill="1" applyBorder="1" applyProtection="1">
      <protection locked="0"/>
    </xf>
    <xf numFmtId="6" fontId="0" fillId="0" borderId="12" xfId="0" applyNumberFormat="1" applyFill="1" applyBorder="1" applyProtection="1">
      <protection locked="0"/>
    </xf>
    <xf numFmtId="37" fontId="22" fillId="10" borderId="0" xfId="13" applyFont="1" applyFill="1" applyProtection="1"/>
    <xf numFmtId="0" fontId="0" fillId="10" borderId="26" xfId="0" applyFill="1" applyBorder="1" applyAlignment="1">
      <alignment horizontal="center" wrapText="1"/>
    </xf>
    <xf numFmtId="42" fontId="0" fillId="11" borderId="30" xfId="0" applyNumberFormat="1" applyFont="1" applyFill="1" applyBorder="1" applyProtection="1">
      <protection locked="0"/>
    </xf>
    <xf numFmtId="42" fontId="0" fillId="11" borderId="31" xfId="0" applyNumberFormat="1" applyFont="1" applyFill="1" applyBorder="1" applyProtection="1">
      <protection locked="0"/>
    </xf>
    <xf numFmtId="42" fontId="0" fillId="10" borderId="0" xfId="0" applyNumberFormat="1" applyFont="1" applyFill="1" applyBorder="1" applyProtection="1">
      <protection locked="0"/>
    </xf>
    <xf numFmtId="0" fontId="13" fillId="10" borderId="0" xfId="0" applyFont="1" applyFill="1" applyAlignment="1">
      <alignment horizontal="center"/>
    </xf>
    <xf numFmtId="10" fontId="0" fillId="10" borderId="0" xfId="22" applyNumberFormat="1" applyFont="1" applyFill="1"/>
    <xf numFmtId="10" fontId="0" fillId="10" borderId="0" xfId="0" applyNumberFormat="1" applyFill="1"/>
    <xf numFmtId="2" fontId="0" fillId="10" borderId="0" xfId="22" applyNumberFormat="1" applyFont="1" applyFill="1"/>
    <xf numFmtId="0" fontId="52" fillId="10" borderId="0" xfId="0" applyFont="1" applyFill="1" applyProtection="1"/>
    <xf numFmtId="1" fontId="0" fillId="10" borderId="0" xfId="24" applyNumberFormat="1" applyFont="1" applyFill="1" applyAlignment="1">
      <alignment horizontal="left"/>
    </xf>
    <xf numFmtId="170" fontId="0" fillId="10" borderId="0" xfId="24" applyNumberFormat="1" applyFont="1" applyFill="1" applyAlignment="1">
      <alignment horizontal="left"/>
    </xf>
    <xf numFmtId="0" fontId="0" fillId="10" borderId="0" xfId="0" applyFill="1" applyAlignment="1">
      <alignment horizontal="right"/>
    </xf>
    <xf numFmtId="0" fontId="0" fillId="10" borderId="0" xfId="0" applyNumberFormat="1" applyFill="1"/>
    <xf numFmtId="1" fontId="0" fillId="10" borderId="0" xfId="0" applyNumberFormat="1" applyFont="1" applyFill="1" applyAlignment="1">
      <alignment horizontal="left"/>
    </xf>
    <xf numFmtId="0" fontId="53" fillId="13" borderId="0" xfId="0" applyNumberFormat="1" applyFont="1" applyFill="1" applyBorder="1" applyAlignment="1">
      <alignment vertical="center"/>
    </xf>
    <xf numFmtId="5" fontId="53" fillId="13" borderId="0" xfId="0" applyNumberFormat="1" applyFont="1" applyFill="1" applyBorder="1" applyAlignment="1">
      <alignment vertical="center"/>
    </xf>
    <xf numFmtId="5" fontId="53" fillId="0" borderId="0" xfId="0" applyNumberFormat="1" applyFont="1" applyFill="1" applyBorder="1" applyAlignment="1">
      <alignment vertical="center"/>
    </xf>
    <xf numFmtId="0" fontId="55" fillId="0" borderId="0" xfId="211" applyFont="1"/>
    <xf numFmtId="0" fontId="54" fillId="3" borderId="0" xfId="211" applyFill="1"/>
    <xf numFmtId="0" fontId="54" fillId="0" borderId="0" xfId="211" applyFill="1"/>
    <xf numFmtId="0" fontId="54" fillId="0" borderId="0" xfId="211"/>
    <xf numFmtId="0" fontId="54" fillId="0" borderId="0" xfId="211" applyFont="1" applyFill="1"/>
    <xf numFmtId="0" fontId="56" fillId="0" borderId="0" xfId="211" applyFont="1"/>
    <xf numFmtId="0" fontId="57" fillId="0" borderId="0" xfId="211" applyFont="1"/>
    <xf numFmtId="176" fontId="6" fillId="0" borderId="0" xfId="211" applyNumberFormat="1" applyFont="1" applyAlignment="1">
      <alignment horizontal="right"/>
    </xf>
    <xf numFmtId="0" fontId="12" fillId="13" borderId="32" xfId="0" applyFont="1" applyFill="1" applyBorder="1" applyAlignment="1">
      <alignment vertical="center"/>
    </xf>
    <xf numFmtId="0" fontId="0" fillId="13" borderId="33" xfId="0" applyFill="1" applyBorder="1"/>
    <xf numFmtId="0" fontId="12" fillId="13" borderId="33" xfId="0" applyFont="1" applyFill="1" applyBorder="1"/>
    <xf numFmtId="42" fontId="13" fillId="13" borderId="33" xfId="0" applyNumberFormat="1" applyFont="1" applyFill="1" applyBorder="1" applyAlignment="1">
      <alignment horizontal="right" vertical="center"/>
    </xf>
    <xf numFmtId="42" fontId="58" fillId="13" borderId="34" xfId="0" applyNumberFormat="1" applyFont="1" applyFill="1" applyBorder="1" applyAlignment="1">
      <alignment horizontal="left" vertical="center"/>
    </xf>
    <xf numFmtId="0" fontId="12" fillId="3" borderId="32" xfId="0" applyFont="1" applyFill="1" applyBorder="1"/>
    <xf numFmtId="0" fontId="0" fillId="3" borderId="33" xfId="0" applyFill="1" applyBorder="1"/>
    <xf numFmtId="0" fontId="12" fillId="3" borderId="33" xfId="0" applyFont="1" applyFill="1" applyBorder="1"/>
    <xf numFmtId="42" fontId="13" fillId="3" borderId="33" xfId="0" applyNumberFormat="1" applyFont="1" applyFill="1" applyBorder="1" applyAlignment="1">
      <alignment horizontal="right" vertical="center"/>
    </xf>
    <xf numFmtId="42" fontId="58" fillId="3" borderId="33" xfId="0" applyNumberFormat="1" applyFont="1" applyFill="1" applyBorder="1" applyAlignment="1">
      <alignment horizontal="center" vertical="center"/>
    </xf>
    <xf numFmtId="42" fontId="58" fillId="0" borderId="0" xfId="0" applyNumberFormat="1" applyFont="1" applyFill="1" applyBorder="1" applyAlignment="1">
      <alignment horizontal="center" vertical="center"/>
    </xf>
    <xf numFmtId="0" fontId="54" fillId="14" borderId="0" xfId="211" applyFill="1" applyBorder="1"/>
    <xf numFmtId="0" fontId="54" fillId="0" borderId="0" xfId="211" applyFill="1" applyBorder="1"/>
    <xf numFmtId="0" fontId="6" fillId="14" borderId="0" xfId="211" applyFont="1" applyFill="1" applyBorder="1"/>
    <xf numFmtId="0" fontId="59" fillId="3" borderId="12" xfId="211" applyFont="1" applyFill="1" applyBorder="1" applyAlignment="1">
      <alignment horizontal="center" vertical="center"/>
    </xf>
    <xf numFmtId="0" fontId="60" fillId="14" borderId="0" xfId="211" applyFont="1" applyFill="1" applyBorder="1" applyAlignment="1">
      <alignment horizontal="centerContinuous" vertical="center"/>
    </xf>
    <xf numFmtId="0" fontId="59" fillId="0" borderId="0" xfId="211" applyFont="1" applyFill="1" applyBorder="1" applyAlignment="1">
      <alignment horizontal="center" vertical="center"/>
    </xf>
    <xf numFmtId="0" fontId="61" fillId="14" borderId="0" xfId="211" applyFont="1" applyFill="1" applyBorder="1"/>
    <xf numFmtId="8" fontId="61" fillId="13" borderId="30" xfId="211" applyNumberFormat="1" applyFont="1" applyFill="1" applyBorder="1" applyAlignment="1">
      <alignment horizontal="center" vertical="top" wrapText="1"/>
    </xf>
    <xf numFmtId="8" fontId="61" fillId="13" borderId="35" xfId="211" applyNumberFormat="1" applyFont="1" applyFill="1" applyBorder="1" applyAlignment="1">
      <alignment horizontal="center" vertical="top" wrapText="1"/>
    </xf>
    <xf numFmtId="8" fontId="61" fillId="0" borderId="0" xfId="211" applyNumberFormat="1" applyFont="1" applyFill="1" applyBorder="1" applyAlignment="1">
      <alignment horizontal="center" vertical="top" wrapText="1"/>
    </xf>
    <xf numFmtId="0" fontId="61" fillId="0" borderId="0" xfId="211" applyFont="1"/>
    <xf numFmtId="0" fontId="54" fillId="13" borderId="35" xfId="211" applyFill="1" applyBorder="1"/>
    <xf numFmtId="0" fontId="62" fillId="13" borderId="31" xfId="211" applyFont="1" applyFill="1" applyBorder="1"/>
    <xf numFmtId="0" fontId="62" fillId="0" borderId="0" xfId="211" applyFont="1" applyFill="1" applyBorder="1"/>
    <xf numFmtId="0" fontId="63" fillId="14" borderId="0" xfId="211" applyFont="1" applyFill="1" applyBorder="1"/>
    <xf numFmtId="0" fontId="64" fillId="14" borderId="0" xfId="211" applyFont="1" applyFill="1" applyBorder="1"/>
    <xf numFmtId="0" fontId="64" fillId="0" borderId="0" xfId="211" applyFont="1" applyFill="1" applyBorder="1"/>
    <xf numFmtId="0" fontId="56" fillId="0" borderId="0" xfId="211" applyFont="1" applyAlignment="1">
      <alignment vertical="top"/>
    </xf>
    <xf numFmtId="0" fontId="61" fillId="14" borderId="0" xfId="211" applyFont="1" applyFill="1" applyBorder="1" applyAlignment="1">
      <alignment vertical="top"/>
    </xf>
    <xf numFmtId="0" fontId="61" fillId="0" borderId="0" xfId="211" applyFont="1" applyAlignment="1">
      <alignment vertical="top"/>
    </xf>
    <xf numFmtId="0" fontId="54" fillId="14" borderId="0" xfId="211" applyFill="1" applyBorder="1" applyAlignment="1">
      <alignment vertical="top"/>
    </xf>
    <xf numFmtId="0" fontId="64" fillId="14" borderId="0" xfId="211" applyFont="1" applyFill="1" applyBorder="1" applyAlignment="1">
      <alignment vertical="top"/>
    </xf>
    <xf numFmtId="0" fontId="65" fillId="14" borderId="0" xfId="211" applyFont="1" applyFill="1" applyBorder="1"/>
    <xf numFmtId="0" fontId="59" fillId="14" borderId="0" xfId="211" applyFont="1" applyFill="1" applyBorder="1" applyAlignment="1">
      <alignment horizontal="centerContinuous" vertical="center"/>
    </xf>
    <xf numFmtId="0" fontId="56" fillId="0" borderId="0" xfId="211" applyFont="1" applyAlignment="1">
      <alignment vertical="center"/>
    </xf>
    <xf numFmtId="0" fontId="61" fillId="14" borderId="0" xfId="211" applyFont="1" applyFill="1" applyBorder="1" applyAlignment="1">
      <alignment vertical="center"/>
    </xf>
    <xf numFmtId="8" fontId="61" fillId="0" borderId="0" xfId="211" applyNumberFormat="1" applyFont="1" applyFill="1" applyBorder="1" applyAlignment="1">
      <alignment horizontal="center" vertical="center" wrapText="1"/>
    </xf>
    <xf numFmtId="0" fontId="61" fillId="0" borderId="0" xfId="211" applyFont="1" applyFill="1" applyBorder="1" applyAlignment="1">
      <alignment vertical="center"/>
    </xf>
    <xf numFmtId="0" fontId="61" fillId="0" borderId="0" xfId="211" applyFont="1" applyAlignment="1">
      <alignment vertical="center"/>
    </xf>
    <xf numFmtId="0" fontId="54" fillId="0" borderId="0" xfId="211" applyBorder="1"/>
    <xf numFmtId="8" fontId="66" fillId="13" borderId="30" xfId="211" applyNumberFormat="1" applyFont="1" applyFill="1" applyBorder="1" applyAlignment="1">
      <alignment horizontal="center" vertical="top" wrapText="1"/>
    </xf>
    <xf numFmtId="9" fontId="47" fillId="2" borderId="28" xfId="0" quotePrefix="1" applyNumberFormat="1" applyFont="1" applyFill="1" applyBorder="1"/>
    <xf numFmtId="0" fontId="47" fillId="0" borderId="0" xfId="0" applyFont="1"/>
    <xf numFmtId="0" fontId="47" fillId="7" borderId="0" xfId="0" applyFont="1" applyFill="1"/>
    <xf numFmtId="0" fontId="45" fillId="0" borderId="0" xfId="0" applyNumberFormat="1" applyFont="1"/>
    <xf numFmtId="178" fontId="46" fillId="0" borderId="0" xfId="13" applyNumberFormat="1" applyFont="1"/>
    <xf numFmtId="177" fontId="46" fillId="0" borderId="0" xfId="13" applyNumberFormat="1" applyFont="1"/>
    <xf numFmtId="42" fontId="0" fillId="0" borderId="0" xfId="0" applyNumberFormat="1"/>
    <xf numFmtId="9" fontId="22" fillId="0" borderId="0" xfId="13" applyNumberFormat="1" applyFont="1"/>
    <xf numFmtId="0" fontId="22" fillId="0" borderId="0" xfId="13" applyNumberFormat="1" applyFont="1"/>
    <xf numFmtId="0" fontId="46" fillId="0" borderId="0" xfId="13" applyNumberFormat="1" applyFont="1"/>
    <xf numFmtId="42" fontId="0" fillId="2" borderId="0" xfId="0" applyNumberFormat="1" applyFill="1" applyProtection="1">
      <protection locked="0"/>
    </xf>
    <xf numFmtId="42" fontId="0" fillId="5" borderId="0" xfId="0" applyNumberFormat="1" applyFill="1"/>
    <xf numFmtId="42" fontId="0" fillId="8" borderId="0" xfId="0" applyNumberFormat="1" applyFill="1"/>
    <xf numFmtId="42" fontId="0" fillId="2" borderId="0" xfId="0" applyNumberFormat="1" applyFill="1" applyProtection="1"/>
    <xf numFmtId="164" fontId="0" fillId="0" borderId="0" xfId="0" applyNumberFormat="1"/>
    <xf numFmtId="0" fontId="59" fillId="3" borderId="12" xfId="211" applyNumberFormat="1" applyFont="1" applyFill="1" applyBorder="1" applyAlignment="1">
      <alignment horizontal="center" vertical="center"/>
    </xf>
    <xf numFmtId="42" fontId="0" fillId="0" borderId="0" xfId="0" applyNumberFormat="1" applyFill="1" applyProtection="1"/>
    <xf numFmtId="42" fontId="0" fillId="0" borderId="0" xfId="0" applyNumberFormat="1" applyFill="1"/>
    <xf numFmtId="179" fontId="0" fillId="10" borderId="0" xfId="0" applyNumberFormat="1" applyFill="1" applyBorder="1" applyProtection="1">
      <protection locked="0"/>
    </xf>
    <xf numFmtId="179" fontId="0" fillId="10" borderId="0" xfId="0" applyNumberFormat="1" applyFill="1"/>
    <xf numFmtId="0" fontId="13" fillId="10" borderId="0" xfId="0" applyFont="1" applyFill="1"/>
    <xf numFmtId="180" fontId="22" fillId="0" borderId="0" xfId="13" applyNumberFormat="1" applyFont="1"/>
    <xf numFmtId="174" fontId="22" fillId="0" borderId="0" xfId="1" applyNumberFormat="1" applyFont="1"/>
    <xf numFmtId="174" fontId="68" fillId="0" borderId="0" xfId="0" applyNumberFormat="1" applyFont="1"/>
    <xf numFmtId="181" fontId="22" fillId="0" borderId="0" xfId="13" applyNumberFormat="1" applyFont="1"/>
    <xf numFmtId="182" fontId="0" fillId="0" borderId="0" xfId="0" applyNumberFormat="1"/>
    <xf numFmtId="182" fontId="22" fillId="0" borderId="0" xfId="13" applyNumberFormat="1" applyFont="1"/>
    <xf numFmtId="37" fontId="22" fillId="5" borderId="0" xfId="13" applyFont="1" applyFill="1"/>
    <xf numFmtId="183" fontId="0" fillId="0" borderId="0" xfId="0" applyNumberFormat="1"/>
    <xf numFmtId="0" fontId="47" fillId="9" borderId="0" xfId="0" applyFont="1" applyFill="1"/>
    <xf numFmtId="0" fontId="0" fillId="0" borderId="0" xfId="0" applyNumberFormat="1" applyFill="1"/>
    <xf numFmtId="0" fontId="0" fillId="0" borderId="0" xfId="0" applyFill="1" applyAlignment="1">
      <alignment horizontal="right"/>
    </xf>
    <xf numFmtId="14" fontId="0" fillId="0" borderId="0" xfId="0" quotePrefix="1" applyNumberFormat="1" applyFill="1" applyAlignment="1">
      <alignment horizontal="right"/>
    </xf>
    <xf numFmtId="1" fontId="0" fillId="0" borderId="0" xfId="0" applyNumberFormat="1" applyFont="1" applyFill="1" applyAlignment="1">
      <alignment horizontal="left"/>
    </xf>
    <xf numFmtId="184" fontId="0" fillId="0" borderId="0" xfId="1" applyNumberFormat="1" applyFont="1" applyFill="1"/>
    <xf numFmtId="1" fontId="0" fillId="10" borderId="0" xfId="0" applyNumberFormat="1" applyFont="1" applyFill="1" applyAlignment="1">
      <alignment horizontal="left" wrapText="1"/>
    </xf>
    <xf numFmtId="1" fontId="0" fillId="10" borderId="0" xfId="0" applyNumberFormat="1" applyFont="1" applyFill="1" applyAlignment="1">
      <alignment horizontal="right" vertical="center"/>
    </xf>
    <xf numFmtId="1" fontId="0" fillId="11" borderId="12" xfId="0" applyNumberFormat="1" applyFont="1" applyFill="1" applyBorder="1" applyAlignment="1">
      <alignment horizontal="left" vertical="center"/>
    </xf>
    <xf numFmtId="1" fontId="0" fillId="11" borderId="12" xfId="0" applyNumberFormat="1" applyFont="1" applyFill="1" applyBorder="1" applyAlignment="1">
      <alignment horizontal="left"/>
    </xf>
    <xf numFmtId="1" fontId="0" fillId="10" borderId="0" xfId="0" applyNumberFormat="1" applyFont="1" applyFill="1" applyBorder="1" applyAlignment="1">
      <alignment horizontal="left" vertical="center"/>
    </xf>
    <xf numFmtId="1" fontId="0" fillId="10" borderId="0" xfId="0" applyNumberFormat="1" applyFont="1" applyFill="1" applyBorder="1" applyAlignment="1">
      <alignment horizontal="right" vertical="center"/>
    </xf>
    <xf numFmtId="1" fontId="0" fillId="10" borderId="0" xfId="0" applyNumberFormat="1" applyFont="1" applyFill="1" applyBorder="1" applyAlignment="1">
      <alignment horizontal="left"/>
    </xf>
    <xf numFmtId="14" fontId="13" fillId="0" borderId="0" xfId="0" applyNumberFormat="1" applyFont="1" applyAlignment="1">
      <alignment horizontal="center"/>
    </xf>
    <xf numFmtId="44" fontId="13" fillId="0" borderId="0" xfId="24" applyFont="1"/>
    <xf numFmtId="44" fontId="0" fillId="0" borderId="0" xfId="24" applyFont="1"/>
    <xf numFmtId="0" fontId="0" fillId="0" borderId="0" xfId="0" pivotButton="1"/>
    <xf numFmtId="14" fontId="0" fillId="0" borderId="0" xfId="0" applyNumberFormat="1" applyAlignment="1">
      <alignment horizontal="left"/>
    </xf>
  </cellXfs>
  <cellStyles count="212">
    <cellStyle name="Bad" xfId="23" builtinId="27"/>
    <cellStyle name="Comma" xfId="1" builtinId="3"/>
    <cellStyle name="Comma 2" xfId="12" xr:uid="{00000000-0005-0000-0000-000002000000}"/>
    <cellStyle name="Comma 3" xfId="3" xr:uid="{00000000-0005-0000-0000-000003000000}"/>
    <cellStyle name="Comma 4" xfId="16" xr:uid="{00000000-0005-0000-0000-000004000000}"/>
    <cellStyle name="Comma 5" xfId="18" xr:uid="{00000000-0005-0000-0000-000005000000}"/>
    <cellStyle name="Currency" xfId="24" builtinId="4"/>
    <cellStyle name="Currency 2" xfId="4" xr:uid="{00000000-0005-0000-0000-000007000000}"/>
    <cellStyle name="Currency 3" xfId="15" xr:uid="{00000000-0005-0000-0000-000008000000}"/>
    <cellStyle name="Currency 4" xfId="19" xr:uid="{00000000-0005-0000-0000-000009000000}"/>
    <cellStyle name="Date" xfId="5" xr:uid="{00000000-0005-0000-0000-00000A000000}"/>
    <cellStyle name="Followed Hyperlink" xfId="21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Heading1" xfId="6" xr:uid="{00000000-0005-0000-0000-000069000000}"/>
    <cellStyle name="Heading2" xfId="7" xr:uid="{00000000-0005-0000-0000-00006A000000}"/>
    <cellStyle name="Heading3" xfId="8" xr:uid="{00000000-0005-0000-0000-00006B000000}"/>
    <cellStyle name="Hyperlink" xfId="20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Normal" xfId="0" builtinId="0"/>
    <cellStyle name="Normal 2" xfId="11" xr:uid="{00000000-0005-0000-0000-0000CB000000}"/>
    <cellStyle name="Normal 3" xfId="2" xr:uid="{00000000-0005-0000-0000-0000CC000000}"/>
    <cellStyle name="Normal 4" xfId="13" xr:uid="{00000000-0005-0000-0000-0000CD000000}"/>
    <cellStyle name="Normal 5" xfId="17" xr:uid="{00000000-0005-0000-0000-0000CE000000}"/>
    <cellStyle name="Normal_Dashboard, WSJ" xfId="211" xr:uid="{00000000-0005-0000-0000-0000CF000000}"/>
    <cellStyle name="Percent" xfId="22" builtinId="5"/>
    <cellStyle name="Percent 2" xfId="9" xr:uid="{00000000-0005-0000-0000-0000D1000000}"/>
    <cellStyle name="Percent 3" xfId="14" xr:uid="{00000000-0005-0000-0000-0000D2000000}"/>
    <cellStyle name="Year" xfId="10" xr:uid="{00000000-0005-0000-0000-0000D3000000}"/>
  </cellStyles>
  <dxfs count="0"/>
  <tableStyles count="0" defaultTableStyle="TableStyleMedium2" defaultPivotStyle="PivotStyleMedium4"/>
  <colors>
    <mruColors>
      <color rgb="FFCDC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Data'!$N$97:$R$97</c:f>
              <c:numCache>
                <c:formatCode>;;;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D6-4FBF-92CD-216A0988D8D5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Data'!$I$97:$M$97</c:f>
              <c:numCache>
                <c:formatCode>;;;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6-4FBF-92CD-216A0988D8D5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('8-Output'!$H$12,'8-Output'!$J$12,'8-Output'!$L$12,'8-Output'!$N$12,'8-Output'!$P$12)</c:f>
              <c:numCache>
                <c:formatCode>0.00%</c:formatCode>
                <c:ptCount val="5"/>
                <c:pt idx="0">
                  <c:v>2.8324485907608051E-2</c:v>
                </c:pt>
                <c:pt idx="1">
                  <c:v>6.0185625477014233E-2</c:v>
                </c:pt>
                <c:pt idx="2">
                  <c:v>9.4720597377118826E-2</c:v>
                </c:pt>
                <c:pt idx="3">
                  <c:v>4.6863411098948217E-3</c:v>
                </c:pt>
                <c:pt idx="4">
                  <c:v>7.2011777857501555E-2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D6-4FBF-92CD-216A0988D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Data'!$N$92:$R$92</c:f>
              <c:numCache>
                <c:formatCode>;;;</c:formatCode>
                <c:ptCount val="5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4-4F43-9EB1-C3B62FF7EA9E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Data'!$I$92:$M$92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24-4F43-9EB1-C3B62FF7EA9E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('8-Output'!$H$7,'8-Output'!$J$7,'8-Output'!$L$7,'8-Output'!$N$7,'8-Output'!$P$7)</c:f>
              <c:numCache>
                <c:formatCode>0.00%</c:formatCode>
                <c:ptCount val="5"/>
                <c:pt idx="0">
                  <c:v>0.27374378721646903</c:v>
                </c:pt>
                <c:pt idx="1">
                  <c:v>0.26336771245617319</c:v>
                </c:pt>
                <c:pt idx="2">
                  <c:v>0.24539144266484914</c:v>
                </c:pt>
                <c:pt idx="3">
                  <c:v>0.24913175513228941</c:v>
                </c:pt>
                <c:pt idx="4">
                  <c:v>0.23704440145499375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24-4F43-9EB1-C3B62FF7E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51719065783804874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Data'!$N$93:$R$93</c:f>
              <c:numCache>
                <c:formatCode>;;;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21-4255-BCE2-41ACF0987086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Data'!$I$93:$M$93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21-4255-BCE2-41ACF0987086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('8-Output'!$H$8,'8-Output'!$J$8,'8-Output'!$L$8,'8-Output'!$N$8,'8-Output'!$P$8)</c:f>
              <c:numCache>
                <c:formatCode>0.00%</c:formatCode>
                <c:ptCount val="5"/>
                <c:pt idx="0">
                  <c:v>0.27776020349151503</c:v>
                </c:pt>
                <c:pt idx="1">
                  <c:v>0.26703581404699683</c:v>
                </c:pt>
                <c:pt idx="2">
                  <c:v>0.24913857947685436</c:v>
                </c:pt>
                <c:pt idx="3">
                  <c:v>0.25178099183065111</c:v>
                </c:pt>
                <c:pt idx="4">
                  <c:v>0.23956510270860268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21-4255-BCE2-41ACF0987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52893215265052673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Data'!$N$94:$R$94</c:f>
              <c:numCache>
                <c:formatCode>;;;</c:formatCode>
                <c:ptCount val="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13-4608-A362-92B28B4A8914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Data'!$I$94:$M$94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13-4608-A362-92B28B4A8914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('8-Output'!$H$9,'8-Output'!$J$9,'8-Output'!$L$9,'8-Output'!$N$9,'8-Output'!$P$9)</c:f>
              <c:numCache>
                <c:formatCode>0.00%</c:formatCode>
                <c:ptCount val="5"/>
                <c:pt idx="0">
                  <c:v>0.20331534998252304</c:v>
                </c:pt>
                <c:pt idx="1">
                  <c:v>0.19177335090828496</c:v>
                </c:pt>
                <c:pt idx="2">
                  <c:v>0.17518017964379382</c:v>
                </c:pt>
                <c:pt idx="3">
                  <c:v>0.17436305489160844</c:v>
                </c:pt>
                <c:pt idx="4">
                  <c:v>0.16265031643596908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13-4608-A362-92B28B4A8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47022467858813616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Data'!$N$95:$R$95</c:f>
              <c:numCache>
                <c:formatCode>;;;</c:formatCode>
                <c:ptCount val="5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62-478F-BB27-EE3AE5C5C788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Data'!$I$95:$M$95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62-478F-BB27-EE3AE5C5C788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('8-Output'!$H$10,'8-Output'!$J$10,'8-Output'!$L$10,'8-Output'!$N$10,'8-Output'!$P$10)</c:f>
              <c:numCache>
                <c:formatCode>0.00%</c:formatCode>
                <c:ptCount val="5"/>
                <c:pt idx="0">
                  <c:v>0.60697532102714757</c:v>
                </c:pt>
                <c:pt idx="1">
                  <c:v>0.56661674098063242</c:v>
                </c:pt>
                <c:pt idx="2">
                  <c:v>0.41411248134836709</c:v>
                </c:pt>
                <c:pt idx="3">
                  <c:v>0.41083530269208396</c:v>
                </c:pt>
                <c:pt idx="4">
                  <c:v>0.34601185885457558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62-478F-BB27-EE3AE5C5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Data'!$N$96:$R$96</c:f>
              <c:numCache>
                <c:formatCode>;;;</c:formatCode>
                <c:ptCount val="5"/>
                <c:pt idx="0">
                  <c:v>0.33</c:v>
                </c:pt>
                <c:pt idx="1">
                  <c:v>0.33</c:v>
                </c:pt>
                <c:pt idx="2">
                  <c:v>0.33</c:v>
                </c:pt>
                <c:pt idx="3">
                  <c:v>0.33</c:v>
                </c:pt>
                <c:pt idx="4">
                  <c:v>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67-49DC-A0FA-709F09ADEE14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Data'!$I$96:$M$96</c:f>
              <c:numCache>
                <c:formatCode>;;;</c:formatCode>
                <c:ptCount val="5"/>
                <c:pt idx="0">
                  <c:v>-0.33</c:v>
                </c:pt>
                <c:pt idx="1">
                  <c:v>-0.33</c:v>
                </c:pt>
                <c:pt idx="2">
                  <c:v>-0.33</c:v>
                </c:pt>
                <c:pt idx="3">
                  <c:v>-0.33</c:v>
                </c:pt>
                <c:pt idx="4">
                  <c:v>-0.33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67-49DC-A0FA-709F09ADEE14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('8-Output'!$H$11,'8-Output'!$J$11,'8-Output'!$L$11,'8-Output'!$N$11,'8-Output'!$P$11)</c:f>
              <c:numCache>
                <c:formatCode>0.00%</c:formatCode>
                <c:ptCount val="5"/>
                <c:pt idx="0">
                  <c:v>-0.85159228409821408</c:v>
                </c:pt>
                <c:pt idx="1">
                  <c:v>1.925159897439151E-2</c:v>
                </c:pt>
                <c:pt idx="2">
                  <c:v>2.1350396492466402E-2</c:v>
                </c:pt>
                <c:pt idx="3">
                  <c:v>1.5342240348841513E-2</c:v>
                </c:pt>
                <c:pt idx="4">
                  <c:v>1.9999999999999928E-2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67-49DC-A0FA-709F09ADE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Data'!$N$98:$R$98</c:f>
              <c:numCache>
                <c:formatCode>;;;</c:formatCode>
                <c:ptCount val="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5A-4EB9-A9A1-738733677937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Data'!$I$98:$M$98</c:f>
              <c:numCache>
                <c:formatCode>;;;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5A-4EB9-A9A1-738733677937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('8-Output'!$H$13,'8-Output'!$J$13,'8-Output'!$L$13,'8-Output'!$N$13,'8-Output'!$P$13)</c:f>
              <c:numCache>
                <c:formatCode>0.00%</c:formatCode>
                <c:ptCount val="5"/>
                <c:pt idx="0">
                  <c:v>2.8324485907608051E-2</c:v>
                </c:pt>
                <c:pt idx="1">
                  <c:v>6.0185625477014233E-2</c:v>
                </c:pt>
                <c:pt idx="2">
                  <c:v>9.4720597377118826E-2</c:v>
                </c:pt>
                <c:pt idx="3">
                  <c:v>4.6863411098948217E-3</c:v>
                </c:pt>
                <c:pt idx="4">
                  <c:v>7.2011777857501555E-2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5A-4EB9-A9A1-738733677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Data'!$N$99:$R$99</c:f>
              <c:numCache>
                <c:formatCode>;;;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C-4F3A-8F15-E4EC89F5F241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Data'!$I$99:$M$99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4C-4F3A-8F15-E4EC89F5F241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('8-Output'!$H$14,'8-Output'!$J$14,'8-Output'!$L$14,'8-Output'!$N$14,'8-Output'!$P$14)</c:f>
              <c:numCache>
                <c:formatCode>0.00%</c:formatCode>
                <c:ptCount val="5"/>
                <c:pt idx="0">
                  <c:v>9.0040513693569149E-2</c:v>
                </c:pt>
                <c:pt idx="1">
                  <c:v>2.0406848967773991E-2</c:v>
                </c:pt>
                <c:pt idx="2">
                  <c:v>-8.8721524071487846E-3</c:v>
                </c:pt>
                <c:pt idx="3">
                  <c:v>2.328000951283046E-3</c:v>
                </c:pt>
                <c:pt idx="4">
                  <c:v>-1.7110470188009513E-2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4C-4F3A-8F15-E4EC89F5F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Data'!$N$100:$R$100</c:f>
              <c:numCache>
                <c:formatCode>;;;</c:formatCode>
                <c:ptCount val="5"/>
                <c:pt idx="0">
                  <c:v>6.5000000000000002E-2</c:v>
                </c:pt>
                <c:pt idx="1">
                  <c:v>6.5000000000000002E-2</c:v>
                </c:pt>
                <c:pt idx="2">
                  <c:v>6.5000000000000002E-2</c:v>
                </c:pt>
                <c:pt idx="3">
                  <c:v>6.5000000000000002E-2</c:v>
                </c:pt>
                <c:pt idx="4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75-48F2-BF71-1036C39ACAC5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Data'!$I$100:$M$100</c:f>
              <c:numCache>
                <c:formatCode>;;;</c:formatCode>
                <c:ptCount val="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75-48F2-BF71-1036C39ACAC5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('8-Output'!$H$15,'8-Output'!$J$15,'8-Output'!$L$15,'8-Output'!$N$15,'8-Output'!$P$15)</c:f>
              <c:numCache>
                <c:formatCode>0.00%</c:formatCode>
                <c:ptCount val="5"/>
                <c:pt idx="0">
                  <c:v>8.932856219003521E-2</c:v>
                </c:pt>
                <c:pt idx="1">
                  <c:v>8.1217405869480994E-2</c:v>
                </c:pt>
                <c:pt idx="2">
                  <c:v>7.2399178584110352E-2</c:v>
                </c:pt>
                <c:pt idx="3">
                  <c:v>1.1085228397739756E-3</c:v>
                </c:pt>
                <c:pt idx="4">
                  <c:v>3.9947855563641291E-2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75-48F2-BF71-1036C39AC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Data'!$N$101:$R$101</c:f>
              <c:numCache>
                <c:formatCode>;;;</c:formatCode>
                <c:ptCount val="5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8-4144-BA56-B4664EBE9E23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Data'!$I$101:$M$101</c:f>
              <c:numCache>
                <c:formatCode>;;;</c:formatCode>
                <c:ptCount val="5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8-4144-BA56-B4664EBE9E23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('8-Output'!$H$16,'8-Output'!$J$16,'8-Output'!$L$16,'8-Output'!$N$16,'8-Output'!$P$16)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688-4144-BA56-B4664EBE9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Data'!$N$102:$R$102</c:f>
              <c:numCache>
                <c:formatCode>;;;</c:formatCode>
                <c:ptCount val="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2C-4CB6-ADFA-78C0CE2AA576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Data'!$I$102:$M$102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2C-4CB6-ADFA-78C0CE2AA576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('8-Output'!$H$17,'8-Output'!$J$17,'8-Output'!$L$17,'8-Output'!$N$17,'8-Output'!$P$17)</c:f>
              <c:numCache>
                <c:formatCode>0.00%</c:formatCode>
                <c:ptCount val="5"/>
                <c:pt idx="0">
                  <c:v>9.0040513693569149E-2</c:v>
                </c:pt>
                <c:pt idx="1">
                  <c:v>2.0406848967773991E-2</c:v>
                </c:pt>
                <c:pt idx="2">
                  <c:v>-8.8721524071487846E-3</c:v>
                </c:pt>
                <c:pt idx="3">
                  <c:v>2.328000951283046E-3</c:v>
                </c:pt>
                <c:pt idx="4">
                  <c:v>-1.7110470188009513E-2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2C-4CB6-ADFA-78C0CE2AA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Data'!$N$103:$R$103</c:f>
              <c:numCache>
                <c:formatCode>;;;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2-4157-B7C3-1118E9A9B918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Data'!$I$103:$M$103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2-4157-B7C3-1118E9A9B918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('8-Output'!$H$18,'8-Output'!$J$18,'8-Output'!$L$18,'8-Output'!$N$18,'8-Output'!$P$18)</c:f>
              <c:numCache>
                <c:formatCode>0.00%</c:formatCode>
                <c:ptCount val="5"/>
                <c:pt idx="0">
                  <c:v>2.7926060058315367</c:v>
                </c:pt>
                <c:pt idx="1">
                  <c:v>2.1279784421423149</c:v>
                </c:pt>
                <c:pt idx="2">
                  <c:v>1.618919467604814</c:v>
                </c:pt>
                <c:pt idx="3">
                  <c:v>1.5931812839451909</c:v>
                </c:pt>
                <c:pt idx="4">
                  <c:v>1.3343337574559744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2-4157-B7C3-1118E9A9B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Data'!$N$104:$R$104</c:f>
              <c:numCache>
                <c:formatCode>;;;</c:formatCode>
                <c:ptCount val="5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C9-471F-B1CC-ED373107438C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Data'!$I$104:$M$104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C9-471F-B1CC-ED373107438C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('8-Output'!$H$19,'8-Output'!$J$19,'8-Output'!$L$19,'8-Output'!$N$19,'8-Output'!$P$19)</c:f>
              <c:numCache>
                <c:formatCode>0.00%</c:formatCode>
                <c:ptCount val="5"/>
                <c:pt idx="0">
                  <c:v>1.0261838100341627</c:v>
                </c:pt>
                <c:pt idx="1">
                  <c:v>0.86046340716328096</c:v>
                </c:pt>
                <c:pt idx="2">
                  <c:v>0.67352330451917186</c:v>
                </c:pt>
                <c:pt idx="3">
                  <c:v>0.72357154334568408</c:v>
                </c:pt>
                <c:pt idx="4">
                  <c:v>0.59713528035234897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C9-471F-B1CC-ED3731074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date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Offset val="100"/>
        <c:baseTimeUnit val="days"/>
      </c:date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50544916302557041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Data'!$N$105:$R$105</c:f>
              <c:numCache>
                <c:formatCode>;;;</c:formatCode>
                <c:ptCount val="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13-447A-BDAE-A4B3AF078F18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Data'!$I$105:$M$105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13-447A-BDAE-A4B3AF078F18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('8-Output'!$H$20,'8-Output'!$J$20,'8-Output'!$L$20,'8-Output'!$N$20,'8-Output'!$P$20)</c:f>
              <c:numCache>
                <c:formatCode>0.00%</c:formatCode>
                <c:ptCount val="5"/>
                <c:pt idx="0">
                  <c:v>0.25186292711986191</c:v>
                </c:pt>
                <c:pt idx="1">
                  <c:v>0.2539803018371955</c:v>
                </c:pt>
                <c:pt idx="2">
                  <c:v>0.25560385040069816</c:v>
                </c:pt>
                <c:pt idx="3">
                  <c:v>0.25877442878444634</c:v>
                </c:pt>
                <c:pt idx="4">
                  <c:v>0.26080222803328773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13-447A-BDAE-A4B3AF078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55241514227548305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Data'!$N$106:$R$106</c:f>
              <c:numCache>
                <c:formatCode>;;;</c:formatCode>
                <c:ptCount val="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E8-428D-B237-9A48BCBF13DE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Data'!$I$106:$M$106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E8-428D-B237-9A48BCBF13DE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('8-Output'!$H$21,'8-Output'!$J$21,'8-Output'!$L$21,'8-Output'!$N$21,'8-Output'!$P$21)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E8-428D-B237-9A48BCBF1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Data'!$N$107:$R$107</c:f>
              <c:numCache>
                <c:formatCode>;;;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2-4E6B-A567-E4AB02BDA949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Data'!$I$107:$M$107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2-4E6B-A567-E4AB02BDA949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('8-Output'!$H$22,'8-Output'!$J$22,'8-Output'!$L$22,'8-Output'!$N$22,'8-Output'!$P$22)</c:f>
              <c:numCache>
                <c:formatCode>0.00%</c:formatCode>
                <c:ptCount val="5"/>
                <c:pt idx="0">
                  <c:v>1.5299096642738865</c:v>
                </c:pt>
                <c:pt idx="1">
                  <c:v>1.368424010837672</c:v>
                </c:pt>
                <c:pt idx="2">
                  <c:v>1.1847310053205682</c:v>
                </c:pt>
                <c:pt idx="3">
                  <c:v>1.2411204009145766</c:v>
                </c:pt>
                <c:pt idx="4">
                  <c:v>1.1187397364189244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E2-4E6B-A567-E4AB02BDA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Data'!$N$108:$R$108</c:f>
              <c:numCache>
                <c:formatCode>;;;</c:formatCode>
                <c:ptCount val="5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6-4D1E-9185-FAC0C4CEE51A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Data'!$I$107:$M$107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76-4D1E-9185-FAC0C4CEE51A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('8-Output'!$H$23,'8-Output'!$J$23,'8-Output'!$L$23,'8-Output'!$N$23,'8-Output'!$P$23)</c:f>
              <c:numCache>
                <c:formatCode>0.00%</c:formatCode>
                <c:ptCount val="5"/>
                <c:pt idx="0">
                  <c:v>0.4020039636130055</c:v>
                </c:pt>
                <c:pt idx="1">
                  <c:v>0.38018030539897529</c:v>
                </c:pt>
                <c:pt idx="2">
                  <c:v>0.36324752842441865</c:v>
                </c:pt>
                <c:pt idx="3">
                  <c:v>5.5034080994067472E-3</c:v>
                </c:pt>
                <c:pt idx="4">
                  <c:v>0.20843945503736541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76-4D1E-9185-FAC0C4CEE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Data'!$N$109:$R$109</c:f>
              <c:numCache>
                <c:formatCode>;;;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33-4257-BD71-F14E1FB125FD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Data'!$I$109:$M$109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33-4257-BD71-F14E1FB125FD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('8-Output'!$H$24,'8-Output'!$J$24,'8-Output'!$L$24,'8-Output'!$N$24,'8-Output'!$P$24)</c:f>
              <c:numCache>
                <c:formatCode>0.00%</c:formatCode>
                <c:ptCount val="5"/>
                <c:pt idx="0">
                  <c:v>1.127905700660881</c:v>
                </c:pt>
                <c:pt idx="1">
                  <c:v>0.98824370543869666</c:v>
                </c:pt>
                <c:pt idx="2">
                  <c:v>0.82148347689614953</c:v>
                </c:pt>
                <c:pt idx="3">
                  <c:v>1.2356169928151699</c:v>
                </c:pt>
                <c:pt idx="4">
                  <c:v>0.91030028138155905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33-4257-BD71-F14E1FB12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Data'!$N$110:$R$110</c:f>
              <c:numCache>
                <c:formatCode>;;;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BC-44D4-A2E6-74C4B3A3CC4D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Data'!$I$110:$M$110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BC-44D4-A2E6-74C4B3A3CC4D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('8-Output'!$H$25,'8-Output'!$J$25,'8-Output'!$L$25,'8-Output'!$N$25,'8-Output'!$P$25)</c:f>
              <c:numCache>
                <c:formatCode>0.00%</c:formatCode>
                <c:ptCount val="5"/>
                <c:pt idx="0">
                  <c:v>0.21426476482606308</c:v>
                </c:pt>
                <c:pt idx="1">
                  <c:v>0.94977357913613347</c:v>
                </c:pt>
                <c:pt idx="2">
                  <c:v>0.90855748427238892</c:v>
                </c:pt>
                <c:pt idx="3">
                  <c:v>1.0912925457508313</c:v>
                </c:pt>
                <c:pt idx="4">
                  <c:v>1.1002636520532589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BC-44D4-A2E6-74C4B3A3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Data'!$N$111:$R$111</c:f>
              <c:numCache>
                <c:formatCode>;;;</c:formatCode>
                <c:ptCount val="5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EF-425E-B33B-51C234E6664B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Data'!$I$111:$M$111</c:f>
              <c:numCache>
                <c:formatCode>;;;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EF-425E-B33B-51C234E6664B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('8-Output'!$H$26,'8-Output'!$J$26,'8-Output'!$L$26,'8-Output'!$N$26,'8-Output'!$P$26)</c:f>
              <c:numCache>
                <c:formatCode>0.00%</c:formatCode>
                <c:ptCount val="5"/>
                <c:pt idx="0">
                  <c:v>2.5751671214088621</c:v>
                </c:pt>
                <c:pt idx="1">
                  <c:v>2.617961466830717</c:v>
                </c:pt>
                <c:pt idx="2">
                  <c:v>2.7970114852693762</c:v>
                </c:pt>
                <c:pt idx="3">
                  <c:v>2.7979114314732407</c:v>
                </c:pt>
                <c:pt idx="4">
                  <c:v>2.9885564095505566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EF-425E-B33B-51C234E66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Data'!$N$113:$R$113</c:f>
              <c:numCache>
                <c:formatCode>;;;</c:formatCode>
                <c:ptCount val="5"/>
                <c:pt idx="0">
                  <c:v>250000</c:v>
                </c:pt>
                <c:pt idx="1">
                  <c:v>250000</c:v>
                </c:pt>
                <c:pt idx="2">
                  <c:v>250000</c:v>
                </c:pt>
                <c:pt idx="3">
                  <c:v>250000</c:v>
                </c:pt>
                <c:pt idx="4">
                  <c:v>250000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9E-4A0C-A644-2D6ABA39E175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Data'!$I$113:$M$113</c:f>
              <c:numCache>
                <c:formatCode>;;;</c:formatCode>
                <c:ptCount val="5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9E-4A0C-A644-2D6ABA39E175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('8-Output'!$H$28,'8-Output'!$J$28,'8-Output'!$L$28,'8-Output'!$N$28,'8-Output'!$P$28)</c:f>
              <c:numCache>
                <c:formatCode>0.00</c:formatCode>
                <c:ptCount val="5"/>
                <c:pt idx="0">
                  <c:v>34744.375009505064</c:v>
                </c:pt>
                <c:pt idx="1">
                  <c:v>-6778.9419208164618</c:v>
                </c:pt>
                <c:pt idx="2">
                  <c:v>8592.9209005587472</c:v>
                </c:pt>
                <c:pt idx="3">
                  <c:v>8420.793261610379</c:v>
                </c:pt>
                <c:pt idx="4">
                  <c:v>17315.503006967032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9E-4A0C-A644-2D6ABA39E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Data'!$N$114:$R$114</c:f>
              <c:numCache>
                <c:formatCode>;;;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64-4047-9382-A95F7B95E9F6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Data'!$I$114:$M$114</c:f>
              <c:numCache>
                <c:formatCode>;;;</c:formatCode>
                <c:ptCount val="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64-4047-9382-A95F7B95E9F6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('8-Output'!$H$29,'8-Output'!$J$29,'8-Output'!$L$29,'8-Output'!$N$29,'8-Output'!$P$29)</c:f>
              <c:numCache>
                <c:formatCode>0.00%</c:formatCode>
                <c:ptCount val="5"/>
                <c:pt idx="0">
                  <c:v>0.12395722645898077</c:v>
                </c:pt>
                <c:pt idx="1">
                  <c:v>0.26573659639849878</c:v>
                </c:pt>
                <c:pt idx="2">
                  <c:v>0.43412037350454863</c:v>
                </c:pt>
                <c:pt idx="3">
                  <c:v>2.3157435969276299E-2</c:v>
                </c:pt>
                <c:pt idx="4">
                  <c:v>0.35050194665172874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64-4047-9382-A95F7B95E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031636820110277"/>
          <c:y val="8.1714332204793863E-2"/>
          <c:w val="0.70039130017284423"/>
          <c:h val="0.51719065783804874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Data'!$N$115:$R$115</c:f>
              <c:numCache>
                <c:formatCode>;;;</c:formatCode>
                <c:ptCount val="5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3E-4570-977D-54DC9677B4A0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Data'!$I$115:$M$115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3E-4570-977D-54DC9677B4A0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('8-Output'!$H$30,'8-Output'!$J$30,'8-Output'!$L$30,'8-Output'!$N$30,'8-Output'!$P$30)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3E-4570-977D-54DC9677B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55241514227548316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Data'!$N$116:$R$116</c:f>
              <c:numCache>
                <c:formatCode>;;;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DE-4A8E-A662-81043CCA1F35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Data'!$I$116:$M$116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DE-4A8E-A662-81043CCA1F35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('8-Output'!$H$31,'8-Output'!$J$31,'8-Output'!$L$31,'8-Output'!$N$31,'8-Output'!$N$31,'8-Output'!$P$31)</c:f>
              <c:numCache>
                <c:formatCode>0.00%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DE-4A8E-A662-81043CCA1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Data'!$N$117:$R$117</c:f>
              <c:numCache>
                <c:formatCode>;;;</c:formatCode>
                <c:ptCount val="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82-4207-8B7C-31A7D48A6EAA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Data'!$I$117:$M$117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82-4207-8B7C-31A7D48A6EAA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('8-Output'!$H$32,'8-Output'!$J$32,'8-Output'!$L$32,'8-Output'!$N$32,'8-Output'!$P$32)</c:f>
              <c:numCache>
                <c:formatCode>0.00%</c:formatCode>
                <c:ptCount val="5"/>
                <c:pt idx="0">
                  <c:v>0.23227179992734295</c:v>
                </c:pt>
                <c:pt idx="1">
                  <c:v>0.19397717107476298</c:v>
                </c:pt>
                <c:pt idx="2">
                  <c:v>9.4784195922150358E-3</c:v>
                </c:pt>
                <c:pt idx="3">
                  <c:v>-5.7495449690634654E-3</c:v>
                </c:pt>
                <c:pt idx="4">
                  <c:v>-1.3799594799471574E-2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82-4207-8B7C-31A7D48A6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Data'!$N$118:$R$118</c:f>
              <c:numCache>
                <c:formatCode>;;;</c:formatCode>
                <c:ptCount val="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C-4444-909E-6D67CB9E88EF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Data'!$I$118:$M$118</c:f>
              <c:numCache>
                <c:formatCode>;;;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C-4444-909E-6D67CB9E88EF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('8-Output'!$H$33,'8-Output'!$J$33,'8-Output'!$L$33,'8-Output'!$N$33,'8-Output'!$P$33)</c:f>
              <c:numCache>
                <c:formatCode>0.00%</c:formatCode>
                <c:ptCount val="5"/>
                <c:pt idx="0">
                  <c:v>-0.23174967594514209</c:v>
                </c:pt>
                <c:pt idx="1">
                  <c:v>-0.1158982354876601</c:v>
                </c:pt>
                <c:pt idx="2">
                  <c:v>8.1734158606704948E-3</c:v>
                </c:pt>
                <c:pt idx="3">
                  <c:v>6.8913314854698975E-3</c:v>
                </c:pt>
                <c:pt idx="4">
                  <c:v>6.3877938409090456E-3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C-4444-909E-6D67CB9E8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50544916302557052"/>
        </c:manualLayout>
      </c:layout>
      <c:lineChart>
        <c:grouping val="standard"/>
        <c:varyColors val="0"/>
        <c:ser>
          <c:idx val="1"/>
          <c:order val="0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Data'!$I$119:$M$119</c:f>
              <c:numCache>
                <c:formatCode>;;;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AA-42D8-9D8B-2BE864A70465}"/>
            </c:ext>
          </c:extLst>
        </c:ser>
        <c:ser>
          <c:idx val="2"/>
          <c:order val="1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('8-Output'!$H$34,'8-Output'!$J$34,'8-Output'!$L$34,'8-Output'!$N$34,'8-Output'!$P$34)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AA-42D8-9D8B-2BE864A70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1" l="0.75000000000000133" r="0.75000000000000133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473065104666791"/>
          <c:y val="8.1714409931887402E-2"/>
          <c:w val="0.70039130017284423"/>
          <c:h val="0.82246944592048699"/>
        </c:manualLayout>
      </c:layout>
      <c:lineChart>
        <c:grouping val="standard"/>
        <c:varyColors val="0"/>
        <c:ser>
          <c:idx val="0"/>
          <c:order val="0"/>
          <c:tx>
            <c:v>High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Data'!$N$112:$R$112</c:f>
              <c:numCache>
                <c:formatCode>;;;</c:formatCode>
                <c:ptCount val="5"/>
                <c:pt idx="0">
                  <c:v>250000</c:v>
                </c:pt>
                <c:pt idx="1">
                  <c:v>250000</c:v>
                </c:pt>
                <c:pt idx="2">
                  <c:v>250000</c:v>
                </c:pt>
                <c:pt idx="3">
                  <c:v>250000</c:v>
                </c:pt>
                <c:pt idx="4">
                  <c:v>250000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DD-4BD9-BED7-CC8F7FA5FCBC}"/>
            </c:ext>
          </c:extLst>
        </c:ser>
        <c:ser>
          <c:idx val="1"/>
          <c:order val="1"/>
          <c:tx>
            <c:v>Low</c:v>
          </c:tx>
          <c:spPr>
            <a:ln w="25400"/>
          </c:spPr>
          <c:marker>
            <c:symbol val="none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'7 - Enter Additional Data'!$I$112:$M$112</c:f>
              <c:numCache>
                <c:formatCode>;;;</c:formatCode>
                <c:ptCount val="5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DD-4BD9-BED7-CC8F7FA5FCBC}"/>
            </c:ext>
          </c:extLst>
        </c:ser>
        <c:ser>
          <c:idx val="2"/>
          <c:order val="2"/>
          <c:tx>
            <c:v>Actual</c:v>
          </c:tx>
          <c:spPr>
            <a:ln w="38100"/>
          </c:spPr>
          <c:marker>
            <c:symbol val="diamond"/>
            <c:size val="5"/>
          </c:marker>
          <c:cat>
            <c:numRef>
              <c:f>'7 - Enter Additional Data'!$I$8:$M$8</c:f>
              <c:numCache>
                <c:formatCode>General</c:formatCode>
                <c:ptCount val="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</c:numCache>
            </c:numRef>
          </c:cat>
          <c:val>
            <c:numRef>
              <c:f>('8-Output'!$H$27,'8-Output'!$J$27,'8-Output'!$L$27,'8-Output'!$N$27,'8-Output'!$P$27)</c:f>
              <c:numCache>
                <c:formatCode>0.00</c:formatCode>
                <c:ptCount val="5"/>
                <c:pt idx="0">
                  <c:v>34744.375009505064</c:v>
                </c:pt>
                <c:pt idx="1">
                  <c:v>-6778.9419208164618</c:v>
                </c:pt>
                <c:pt idx="2">
                  <c:v>8592.9209005587472</c:v>
                </c:pt>
                <c:pt idx="3">
                  <c:v>8420.793261610379</c:v>
                </c:pt>
                <c:pt idx="4">
                  <c:v>17315.503006967032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DD-4BD9-BED7-CC8F7FA5F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904"/>
        <c:axId val="71053696"/>
      </c:lineChart>
      <c:catAx>
        <c:axId val="7105190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low"/>
        <c:txPr>
          <a:bodyPr rot="-2400000" vert="horz"/>
          <a:lstStyle/>
          <a:p>
            <a:pPr>
              <a:defRPr/>
            </a:pPr>
            <a:endParaRPr lang="en-US"/>
          </a:p>
        </c:txPr>
        <c:crossAx val="71053696"/>
        <c:crossesAt val="0"/>
        <c:auto val="0"/>
        <c:lblAlgn val="ctr"/>
        <c:lblOffset val="100"/>
        <c:noMultiLvlLbl val="0"/>
      </c:catAx>
      <c:valAx>
        <c:axId val="710536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1051904"/>
        <c:crosses val="autoZero"/>
        <c:crossBetween val="between"/>
      </c:valAx>
    </c:plotArea>
    <c:plotVisOnly val="1"/>
    <c:dispBlanksAs val="gap"/>
    <c:showDLblsOverMax val="0"/>
  </c:chart>
  <c:spPr>
    <a:noFill/>
    <a:ln>
      <a:solidFill>
        <a:schemeClr val="accent1">
          <a:shade val="95000"/>
          <a:satMod val="105000"/>
          <a:alpha val="98000"/>
        </a:schemeClr>
      </a:solidFill>
    </a:ln>
  </c:spPr>
  <c:printSettings>
    <c:headerFooter/>
    <c:pageMargins b="1" l="0.75000000000000133" r="0.75000000000000133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Simulation success rate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'Setup 2'!$L$121:$L$220</c:f>
              <c:numCache>
                <c:formatCode>0.0000000</c:formatCode>
                <c:ptCount val="100"/>
                <c:pt idx="0" formatCode="#,##0.00000000;\-#,##0.00000000">
                  <c:v>1</c:v>
                </c:pt>
                <c:pt idx="1">
                  <c:v>1</c:v>
                </c:pt>
                <c:pt idx="2" formatCode="#,##0.00000000;\-#,##0.00000000">
                  <c:v>1</c:v>
                </c:pt>
                <c:pt idx="3" formatCode="#,##0.00000000;\-#,##0.00000000">
                  <c:v>0.75</c:v>
                </c:pt>
                <c:pt idx="4" formatCode="#,##0.00000000;\-#,##0.00000000">
                  <c:v>0.6</c:v>
                </c:pt>
                <c:pt idx="5" formatCode="#,##0.00000000;\-#,##0.00000000">
                  <c:v>0.66666666666666663</c:v>
                </c:pt>
                <c:pt idx="6" formatCode="#,##0.00000000;\-#,##0.00000000">
                  <c:v>0.7142857142857143</c:v>
                </c:pt>
                <c:pt idx="7" formatCode="#,##0.00000000;\-#,##0.00000000">
                  <c:v>0.625</c:v>
                </c:pt>
                <c:pt idx="8" formatCode="#,##0.00000000;\-#,##0.00000000">
                  <c:v>0.66666666666666663</c:v>
                </c:pt>
                <c:pt idx="9" formatCode="#,##0.00000000;\-#,##0.00000000">
                  <c:v>0.7</c:v>
                </c:pt>
                <c:pt idx="10" formatCode="#,##0.00000000;\-#,##0.00000000">
                  <c:v>0.72727272727272729</c:v>
                </c:pt>
                <c:pt idx="11" formatCode="#,##0.00000000;\-#,##0.00000000">
                  <c:v>0.75</c:v>
                </c:pt>
                <c:pt idx="12" formatCode="#,##0.00000000;\-#,##0.00000000">
                  <c:v>0.76923076923076927</c:v>
                </c:pt>
                <c:pt idx="13" formatCode="#,##0.00000000;\-#,##0.00000000">
                  <c:v>0.7857142857142857</c:v>
                </c:pt>
                <c:pt idx="14" formatCode="#,##0.00000000;\-#,##0.00000000">
                  <c:v>0.8</c:v>
                </c:pt>
                <c:pt idx="15" formatCode="#,##0.00000000;\-#,##0.00000000">
                  <c:v>0.8125</c:v>
                </c:pt>
                <c:pt idx="16" formatCode="#,##0.00000000;\-#,##0.00000000">
                  <c:v>0.76470588235294112</c:v>
                </c:pt>
                <c:pt idx="17" formatCode="#,##0.00000000;\-#,##0.00000000">
                  <c:v>0.77777777777777779</c:v>
                </c:pt>
                <c:pt idx="18" formatCode="#,##0.00000000;\-#,##0.00000000">
                  <c:v>0.78947368421052633</c:v>
                </c:pt>
                <c:pt idx="19" formatCode="#,##0.00000000;\-#,##0.00000000">
                  <c:v>0.8</c:v>
                </c:pt>
                <c:pt idx="20" formatCode="#,##0.00000000;\-#,##0.00000000">
                  <c:v>0.80952380952380953</c:v>
                </c:pt>
                <c:pt idx="21" formatCode="#,##0.00000000;\-#,##0.00000000">
                  <c:v>0.81818181818181823</c:v>
                </c:pt>
                <c:pt idx="22" formatCode="#,##0.00000000;\-#,##0.00000000">
                  <c:v>0.82608695652173914</c:v>
                </c:pt>
                <c:pt idx="23" formatCode="#,##0.00000000;\-#,##0.00000000">
                  <c:v>0.83333333333333337</c:v>
                </c:pt>
                <c:pt idx="24" formatCode="#,##0.00000000;\-#,##0.00000000">
                  <c:v>0.84</c:v>
                </c:pt>
                <c:pt idx="25" formatCode="#,##0.00000000;\-#,##0.00000000">
                  <c:v>0.84615384615384615</c:v>
                </c:pt>
                <c:pt idx="26" formatCode="#,##0.00000000;\-#,##0.00000000">
                  <c:v>0.81481481481481477</c:v>
                </c:pt>
                <c:pt idx="27" formatCode="#,##0.00000000;\-#,##0.00000000">
                  <c:v>0.8214285714285714</c:v>
                </c:pt>
                <c:pt idx="28" formatCode="#,##0.00000000;\-#,##0.00000000">
                  <c:v>0.82758620689655171</c:v>
                </c:pt>
                <c:pt idx="29" formatCode="#,##0.00000000;\-#,##0.00000000">
                  <c:v>0.83333333333333337</c:v>
                </c:pt>
                <c:pt idx="30" formatCode="#,##0.00000000;\-#,##0.00000000">
                  <c:v>0.80645161290322576</c:v>
                </c:pt>
                <c:pt idx="31" formatCode="#,##0.00000000;\-#,##0.00000000">
                  <c:v>0.8125</c:v>
                </c:pt>
                <c:pt idx="32" formatCode="#,##0.00000000;\-#,##0.00000000">
                  <c:v>0.81818181818181823</c:v>
                </c:pt>
                <c:pt idx="33" formatCode="#,##0.00000000;\-#,##0.00000000">
                  <c:v>0.82352941176470584</c:v>
                </c:pt>
                <c:pt idx="34" formatCode="#,##0.00000000;\-#,##0.00000000">
                  <c:v>0.82857142857142863</c:v>
                </c:pt>
                <c:pt idx="35" formatCode="#,##0.00000000;\-#,##0.00000000">
                  <c:v>0.83333333333333337</c:v>
                </c:pt>
                <c:pt idx="36" formatCode="#,##0.00000000;\-#,##0.00000000">
                  <c:v>0.83783783783783783</c:v>
                </c:pt>
                <c:pt idx="37" formatCode="#,##0.00000000;\-#,##0.00000000">
                  <c:v>0.81578947368421051</c:v>
                </c:pt>
                <c:pt idx="38" formatCode="#,##0.00000000;\-#,##0.00000000">
                  <c:v>0.82051282051282048</c:v>
                </c:pt>
                <c:pt idx="39" formatCode="#,##0.00000000;\-#,##0.00000000">
                  <c:v>0.82499999999999996</c:v>
                </c:pt>
                <c:pt idx="40" formatCode="#,##0.00000000;\-#,##0.00000000">
                  <c:v>0.82926829268292679</c:v>
                </c:pt>
                <c:pt idx="41" formatCode="#,##0.00000000;\-#,##0.00000000">
                  <c:v>0.80952380952380953</c:v>
                </c:pt>
                <c:pt idx="42" formatCode="#,##0.00000000;\-#,##0.00000000">
                  <c:v>0.79069767441860461</c:v>
                </c:pt>
                <c:pt idx="43" formatCode="#,##0.00000000;\-#,##0.00000000">
                  <c:v>0.77272727272727271</c:v>
                </c:pt>
                <c:pt idx="44" formatCode="#,##0.00000000;\-#,##0.00000000">
                  <c:v>0.77777777777777779</c:v>
                </c:pt>
                <c:pt idx="45" formatCode="#,##0.00000000;\-#,##0.00000000">
                  <c:v>0.76086956521739135</c:v>
                </c:pt>
                <c:pt idx="46" formatCode="#,##0.00000000;\-#,##0.00000000">
                  <c:v>0.74468085106382975</c:v>
                </c:pt>
                <c:pt idx="47" formatCode="#,##0.00000000;\-#,##0.00000000">
                  <c:v>0.72916666666666663</c:v>
                </c:pt>
                <c:pt idx="48" formatCode="#,##0.00000000;\-#,##0.00000000">
                  <c:v>0.73469387755102045</c:v>
                </c:pt>
                <c:pt idx="49" formatCode="#,##0.00000000;\-#,##0.00000000">
                  <c:v>0.74</c:v>
                </c:pt>
                <c:pt idx="50" formatCode="#,##0.00000000;\-#,##0.00000000">
                  <c:v>0.72549019607843135</c:v>
                </c:pt>
                <c:pt idx="51" formatCode="#,##0.00000000;\-#,##0.00000000">
                  <c:v>0.71153846153846156</c:v>
                </c:pt>
                <c:pt idx="52" formatCode="#,##0.00000000;\-#,##0.00000000">
                  <c:v>0.71698113207547165</c:v>
                </c:pt>
                <c:pt idx="53" formatCode="#,##0.00000000;\-#,##0.00000000">
                  <c:v>0.72222222222222221</c:v>
                </c:pt>
                <c:pt idx="54" formatCode="#,##0.00000000;\-#,##0.00000000">
                  <c:v>0.72727272727272729</c:v>
                </c:pt>
                <c:pt idx="55" formatCode="#,##0.00000000;\-#,##0.00000000">
                  <c:v>0.7142857142857143</c:v>
                </c:pt>
                <c:pt idx="56" formatCode="#,##0.00000000;\-#,##0.00000000">
                  <c:v>0.7192982456140351</c:v>
                </c:pt>
                <c:pt idx="57" formatCode="#,##0.00000000;\-#,##0.00000000">
                  <c:v>0.72413793103448276</c:v>
                </c:pt>
                <c:pt idx="58" formatCode="#,##0.00000000;\-#,##0.00000000">
                  <c:v>0.72881355932203384</c:v>
                </c:pt>
                <c:pt idx="59" formatCode="#,##0.00000000;\-#,##0.00000000">
                  <c:v>0.73333333333333328</c:v>
                </c:pt>
                <c:pt idx="60" formatCode="#,##0.00000000;\-#,##0.00000000">
                  <c:v>0.72131147540983609</c:v>
                </c:pt>
                <c:pt idx="61" formatCode="#,##0.00000000;\-#,##0.00000000">
                  <c:v>0.72580645161290325</c:v>
                </c:pt>
                <c:pt idx="62" formatCode="#,##0.00000000;\-#,##0.00000000">
                  <c:v>0.73015873015873012</c:v>
                </c:pt>
                <c:pt idx="63" formatCode="#,##0.00000000;\-#,##0.00000000">
                  <c:v>0.71875</c:v>
                </c:pt>
                <c:pt idx="64" formatCode="#,##0.00000000;\-#,##0.00000000">
                  <c:v>0.70769230769230773</c:v>
                </c:pt>
                <c:pt idx="65" formatCode="#,##0.00000000;\-#,##0.00000000">
                  <c:v>0.71212121212121215</c:v>
                </c:pt>
                <c:pt idx="66" formatCode="#,##0.00000000;\-#,##0.00000000">
                  <c:v>0.71641791044776115</c:v>
                </c:pt>
                <c:pt idx="67" formatCode="#,##0.00000000;\-#,##0.00000000">
                  <c:v>0.72058823529411764</c:v>
                </c:pt>
                <c:pt idx="68" formatCode="#,##0.00000000;\-#,##0.00000000">
                  <c:v>0.72463768115942029</c:v>
                </c:pt>
                <c:pt idx="69" formatCode="#,##0.00000000;\-#,##0.00000000">
                  <c:v>0.72857142857142854</c:v>
                </c:pt>
                <c:pt idx="70" formatCode="#,##0.00000000;\-#,##0.00000000">
                  <c:v>0.73239436619718312</c:v>
                </c:pt>
                <c:pt idx="71" formatCode="#,##0.00000000;\-#,##0.00000000">
                  <c:v>0.73611111111111116</c:v>
                </c:pt>
                <c:pt idx="72" formatCode="#,##0.00000000;\-#,##0.00000000">
                  <c:v>0.73972602739726023</c:v>
                </c:pt>
                <c:pt idx="73" formatCode="#,##0.00000000;\-#,##0.00000000">
                  <c:v>0.7432432432432432</c:v>
                </c:pt>
                <c:pt idx="74" formatCode="#,##0.00000000;\-#,##0.00000000">
                  <c:v>0.7466666666666667</c:v>
                </c:pt>
                <c:pt idx="75" formatCode="#,##0.00000000;\-#,##0.00000000">
                  <c:v>0.75</c:v>
                </c:pt>
                <c:pt idx="76" formatCode="#,##0.00000000;\-#,##0.00000000">
                  <c:v>0.74025974025974028</c:v>
                </c:pt>
                <c:pt idx="77" formatCode="#,##0.00000000;\-#,##0.00000000">
                  <c:v>0.74358974358974361</c:v>
                </c:pt>
                <c:pt idx="78" formatCode="#,##0.00000000;\-#,##0.00000000">
                  <c:v>0.74683544303797467</c:v>
                </c:pt>
                <c:pt idx="79" formatCode="#,##0.00000000;\-#,##0.00000000">
                  <c:v>0.75</c:v>
                </c:pt>
                <c:pt idx="80" formatCode="#,##0.00000000;\-#,##0.00000000">
                  <c:v>0.75308641975308643</c:v>
                </c:pt>
                <c:pt idx="81" formatCode="#,##0.00000000;\-#,##0.00000000">
                  <c:v>0.74390243902439024</c:v>
                </c:pt>
                <c:pt idx="82" formatCode="#,##0.00000000;\-#,##0.00000000">
                  <c:v>0.73493975903614461</c:v>
                </c:pt>
                <c:pt idx="83" formatCode="#,##0.00000000;\-#,##0.00000000">
                  <c:v>0.73809523809523814</c:v>
                </c:pt>
                <c:pt idx="84" formatCode="#,##0.00000000;\-#,##0.00000000">
                  <c:v>0.74117647058823533</c:v>
                </c:pt>
                <c:pt idx="85" formatCode="#,##0.00000000;\-#,##0.00000000">
                  <c:v>0.7441860465116279</c:v>
                </c:pt>
                <c:pt idx="86" formatCode="#,##0.00000000;\-#,##0.00000000">
                  <c:v>0.74712643678160917</c:v>
                </c:pt>
                <c:pt idx="87" formatCode="#,##0.00000000;\-#,##0.00000000">
                  <c:v>0.75</c:v>
                </c:pt>
                <c:pt idx="88" formatCode="#,##0.00000000;\-#,##0.00000000">
                  <c:v>0.7528089887640449</c:v>
                </c:pt>
                <c:pt idx="89" formatCode="#,##0.00000000;\-#,##0.00000000">
                  <c:v>0.75555555555555554</c:v>
                </c:pt>
                <c:pt idx="90" formatCode="#,##0.00000000;\-#,##0.00000000">
                  <c:v>0.75824175824175821</c:v>
                </c:pt>
                <c:pt idx="91" formatCode="#,##0.00000000;\-#,##0.00000000">
                  <c:v>0.76086956521739135</c:v>
                </c:pt>
                <c:pt idx="92" formatCode="#,##0.00000000;\-#,##0.00000000">
                  <c:v>0.76344086021505375</c:v>
                </c:pt>
                <c:pt idx="93" formatCode="#,##0.00000000;\-#,##0.00000000">
                  <c:v>0.76595744680851063</c:v>
                </c:pt>
                <c:pt idx="94" formatCode="#,##0.00000000;\-#,##0.00000000">
                  <c:v>0.76842105263157889</c:v>
                </c:pt>
                <c:pt idx="95" formatCode="#,##0.00000000;\-#,##0.00000000">
                  <c:v>0.77083333333333337</c:v>
                </c:pt>
                <c:pt idx="96" formatCode="#,##0.00000000;\-#,##0.00000000">
                  <c:v>0.77319587628865982</c:v>
                </c:pt>
                <c:pt idx="97" formatCode="#,##0.00000000;\-#,##0.00000000">
                  <c:v>0.76530612244897955</c:v>
                </c:pt>
                <c:pt idx="98" formatCode="#,##0.00000000;\-#,##0.00000000">
                  <c:v>0.76767676767676762</c:v>
                </c:pt>
                <c:pt idx="99" formatCode="#,##0.00000000;\-#,##0.00000000">
                  <c:v>0.76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83-418D-B30F-1DC005C8F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44816"/>
        <c:axId val="670152688"/>
      </c:lineChart>
      <c:catAx>
        <c:axId val="670144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times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52688"/>
        <c:crosses val="autoZero"/>
        <c:auto val="1"/>
        <c:lblAlgn val="ctr"/>
        <c:lblOffset val="100"/>
        <c:noMultiLvlLbl val="0"/>
      </c:catAx>
      <c:valAx>
        <c:axId val="6701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percentage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0000;\-#,##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4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36485235263957"/>
          <c:y val="9.4478710994459009E-2"/>
          <c:w val="0.85894369923127478"/>
          <c:h val="0.71653082389091449"/>
        </c:manualLayout>
      </c:layout>
      <c:lineChart>
        <c:grouping val="standard"/>
        <c:varyColors val="0"/>
        <c:ser>
          <c:idx val="0"/>
          <c:order val="0"/>
          <c:cat>
            <c:strRef>
              <c:f>xReserves!$K$7:$Q$7</c:f>
              <c:strCache>
                <c:ptCount val="7"/>
                <c:pt idx="0">
                  <c:v>$25,000</c:v>
                </c:pt>
                <c:pt idx="1">
                  <c:v>$50,000</c:v>
                </c:pt>
                <c:pt idx="2">
                  <c:v>$100,000</c:v>
                </c:pt>
                <c:pt idx="3">
                  <c:v>$250,000</c:v>
                </c:pt>
                <c:pt idx="4">
                  <c:v>$500,000</c:v>
                </c:pt>
                <c:pt idx="5">
                  <c:v>$1,000,000</c:v>
                </c:pt>
                <c:pt idx="6">
                  <c:v>Unlimited</c:v>
                </c:pt>
              </c:strCache>
            </c:strRef>
          </c:cat>
          <c:val>
            <c:numRef>
              <c:f>xReserves!$K$8:$Q$8</c:f>
              <c:numCache>
                <c:formatCode>0.00</c:formatCode>
                <c:ptCount val="7"/>
                <c:pt idx="0">
                  <c:v>0.65</c:v>
                </c:pt>
                <c:pt idx="1">
                  <c:v>0.8</c:v>
                </c:pt>
                <c:pt idx="2">
                  <c:v>1</c:v>
                </c:pt>
                <c:pt idx="3">
                  <c:v>1.4</c:v>
                </c:pt>
                <c:pt idx="4">
                  <c:v>1.75</c:v>
                </c:pt>
                <c:pt idx="5">
                  <c:v>2.2000000000000002</c:v>
                </c:pt>
                <c:pt idx="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B8-8D49-B016-9A6C9F1D9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099840"/>
        <c:axId val="82055552"/>
      </c:lineChart>
      <c:catAx>
        <c:axId val="660998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2055552"/>
        <c:crosses val="autoZero"/>
        <c:auto val="1"/>
        <c:lblAlgn val="ctr"/>
        <c:lblOffset val="100"/>
        <c:noMultiLvlLbl val="0"/>
      </c:catAx>
      <c:valAx>
        <c:axId val="820555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66099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255" l="0.70000000000000162" r="0.70000000000000162" t="0.7500000000000025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8560804899388"/>
          <c:y val="6.9444444444444434E-2"/>
          <c:w val="0.807336614173228"/>
          <c:h val="0.822469378827644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Output!$AI$31:$AI$35</c:f>
              <c:numCache>
                <c:formatCode>m/d/yyyy</c:formatCode>
                <c:ptCount val="5"/>
                <c:pt idx="0">
                  <c:v>41455</c:v>
                </c:pt>
                <c:pt idx="1">
                  <c:v>41820</c:v>
                </c:pt>
                <c:pt idx="2">
                  <c:v>42185</c:v>
                </c:pt>
                <c:pt idx="3">
                  <c:v>42551</c:v>
                </c:pt>
                <c:pt idx="4">
                  <c:v>42916</c:v>
                </c:pt>
              </c:numCache>
            </c:numRef>
          </c:cat>
          <c:val>
            <c:numRef>
              <c:f>Output!$AJ$31:$AJ$35</c:f>
              <c:numCache>
                <c:formatCode>0.00%</c:formatCode>
                <c:ptCount val="5"/>
                <c:pt idx="0">
                  <c:v>1.1952176150192326</c:v>
                </c:pt>
                <c:pt idx="1">
                  <c:v>0.9064988202897164</c:v>
                </c:pt>
                <c:pt idx="2">
                  <c:v>0.73105393374240946</c:v>
                </c:pt>
                <c:pt idx="3">
                  <c:v>0.61315610023406675</c:v>
                </c:pt>
                <c:pt idx="4">
                  <c:v>0.52850241777307905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A-924D-B11B-2BF3274B25FA}"/>
            </c:ext>
          </c:extLst>
        </c:ser>
        <c:ser>
          <c:idx val="1"/>
          <c:order val="1"/>
          <c:marker>
            <c:symbol val="none"/>
          </c:marker>
          <c:cat>
            <c:numRef>
              <c:f>Output!$AI$31:$AI$35</c:f>
              <c:numCache>
                <c:formatCode>m/d/yyyy</c:formatCode>
                <c:ptCount val="5"/>
                <c:pt idx="0">
                  <c:v>41455</c:v>
                </c:pt>
                <c:pt idx="1">
                  <c:v>41820</c:v>
                </c:pt>
                <c:pt idx="2">
                  <c:v>42185</c:v>
                </c:pt>
                <c:pt idx="3">
                  <c:v>42551</c:v>
                </c:pt>
                <c:pt idx="4">
                  <c:v>42916</c:v>
                </c:pt>
              </c:numCache>
            </c:numRef>
          </c:cat>
          <c:val>
            <c:numRef>
              <c:f>Output!$AK$31:$AK$35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A-924D-B11B-2BF3274B25FA}"/>
            </c:ext>
          </c:extLst>
        </c:ser>
        <c:ser>
          <c:idx val="2"/>
          <c:order val="2"/>
          <c:marker>
            <c:symbol val="none"/>
          </c:marker>
          <c:cat>
            <c:numRef>
              <c:f>Output!$AI$31:$AI$35</c:f>
              <c:numCache>
                <c:formatCode>m/d/yyyy</c:formatCode>
                <c:ptCount val="5"/>
                <c:pt idx="0">
                  <c:v>41455</c:v>
                </c:pt>
                <c:pt idx="1">
                  <c:v>41820</c:v>
                </c:pt>
                <c:pt idx="2">
                  <c:v>42185</c:v>
                </c:pt>
                <c:pt idx="3">
                  <c:v>42551</c:v>
                </c:pt>
                <c:pt idx="4">
                  <c:v>42916</c:v>
                </c:pt>
              </c:numCache>
            </c:numRef>
          </c:cat>
          <c:val>
            <c:numRef>
              <c:f>Output!$AL$31:$AL$35</c:f>
              <c:numCache>
                <c:formatCode>0.00%</c:formatCode>
                <c:ptCount val="5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4A-924D-B11B-2BF3274B2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339584"/>
        <c:axId val="88341120"/>
      </c:lineChart>
      <c:catAx>
        <c:axId val="88339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88341120"/>
        <c:crosses val="autoZero"/>
        <c:auto val="0"/>
        <c:lblAlgn val="ctr"/>
        <c:lblOffset val="100"/>
        <c:noMultiLvlLbl val="0"/>
      </c:catAx>
      <c:valAx>
        <c:axId val="8834112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88339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" l="0.75000000000000167" r="0.75000000000000167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chart" Target="../charts/chart29.xml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9119</xdr:colOff>
      <xdr:row>0</xdr:row>
      <xdr:rowOff>164713</xdr:rowOff>
    </xdr:from>
    <xdr:to>
      <xdr:col>3</xdr:col>
      <xdr:colOff>116120</xdr:colOff>
      <xdr:row>2</xdr:row>
      <xdr:rowOff>136620</xdr:rowOff>
    </xdr:to>
    <xdr:sp macro="" textlink="">
      <xdr:nvSpPr>
        <xdr:cNvPr id="2" name="Curved Left Arrow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0002402" flipV="1">
          <a:off x="1228319" y="164713"/>
          <a:ext cx="716601" cy="340207"/>
        </a:xfrm>
        <a:custGeom>
          <a:avLst/>
          <a:gdLst>
            <a:gd name="connsiteX0" fmla="*/ 0 w 847725"/>
            <a:gd name="connsiteY0" fmla="*/ 950119 h 1162050"/>
            <a:gd name="connsiteX1" fmla="*/ 211931 w 847725"/>
            <a:gd name="connsiteY1" fmla="*/ 724785 h 1162050"/>
            <a:gd name="connsiteX2" fmla="*/ 211931 w 847725"/>
            <a:gd name="connsiteY2" fmla="*/ 830750 h 1162050"/>
            <a:gd name="connsiteX3" fmla="*/ 820574 w 847725"/>
            <a:gd name="connsiteY3" fmla="*/ 528041 h 1162050"/>
            <a:gd name="connsiteX4" fmla="*/ 211931 w 847725"/>
            <a:gd name="connsiteY4" fmla="*/ 1042681 h 1162050"/>
            <a:gd name="connsiteX5" fmla="*/ 211931 w 847725"/>
            <a:gd name="connsiteY5" fmla="*/ 1148647 h 1162050"/>
            <a:gd name="connsiteX6" fmla="*/ 0 w 847725"/>
            <a:gd name="connsiteY6" fmla="*/ 950119 h 1162050"/>
            <a:gd name="connsiteX0" fmla="*/ 847725 w 847725"/>
            <a:gd name="connsiteY0" fmla="*/ 634008 h 1162050"/>
            <a:gd name="connsiteX1" fmla="*/ 0 w 847725"/>
            <a:gd name="connsiteY1" fmla="*/ 211931 h 1162050"/>
            <a:gd name="connsiteX2" fmla="*/ 0 w 847725"/>
            <a:gd name="connsiteY2" fmla="*/ 0 h 1162050"/>
            <a:gd name="connsiteX3" fmla="*/ 847725 w 847725"/>
            <a:gd name="connsiteY3" fmla="*/ 422077 h 1162050"/>
            <a:gd name="connsiteX4" fmla="*/ 847725 w 847725"/>
            <a:gd name="connsiteY4" fmla="*/ 634008 h 1162050"/>
            <a:gd name="connsiteX0" fmla="*/ 847725 w 847725"/>
            <a:gd name="connsiteY0" fmla="*/ 634008 h 1162050"/>
            <a:gd name="connsiteX1" fmla="*/ 0 w 847725"/>
            <a:gd name="connsiteY1" fmla="*/ 211931 h 1162050"/>
            <a:gd name="connsiteX2" fmla="*/ 0 w 847725"/>
            <a:gd name="connsiteY2" fmla="*/ 0 h 1162050"/>
            <a:gd name="connsiteX3" fmla="*/ 847725 w 847725"/>
            <a:gd name="connsiteY3" fmla="*/ 422077 h 1162050"/>
            <a:gd name="connsiteX4" fmla="*/ 847725 w 847725"/>
            <a:gd name="connsiteY4" fmla="*/ 634008 h 1162050"/>
            <a:gd name="connsiteX5" fmla="*/ 211931 w 847725"/>
            <a:gd name="connsiteY5" fmla="*/ 1042682 h 1162050"/>
            <a:gd name="connsiteX6" fmla="*/ 211931 w 847725"/>
            <a:gd name="connsiteY6" fmla="*/ 1148647 h 1162050"/>
            <a:gd name="connsiteX7" fmla="*/ 0 w 847725"/>
            <a:gd name="connsiteY7" fmla="*/ 950119 h 1162050"/>
            <a:gd name="connsiteX8" fmla="*/ 211931 w 847725"/>
            <a:gd name="connsiteY8" fmla="*/ 724785 h 1162050"/>
            <a:gd name="connsiteX9" fmla="*/ 211931 w 847725"/>
            <a:gd name="connsiteY9" fmla="*/ 830750 h 1162050"/>
            <a:gd name="connsiteX10" fmla="*/ 820574 w 847725"/>
            <a:gd name="connsiteY10" fmla="*/ 528041 h 1162050"/>
            <a:gd name="connsiteX0" fmla="*/ 0 w 918985"/>
            <a:gd name="connsiteY0" fmla="*/ 950119 h 1148647"/>
            <a:gd name="connsiteX1" fmla="*/ 211931 w 918985"/>
            <a:gd name="connsiteY1" fmla="*/ 724785 h 1148647"/>
            <a:gd name="connsiteX2" fmla="*/ 211931 w 918985"/>
            <a:gd name="connsiteY2" fmla="*/ 830750 h 1148647"/>
            <a:gd name="connsiteX3" fmla="*/ 820574 w 918985"/>
            <a:gd name="connsiteY3" fmla="*/ 528041 h 1148647"/>
            <a:gd name="connsiteX4" fmla="*/ 211931 w 918985"/>
            <a:gd name="connsiteY4" fmla="*/ 1042681 h 1148647"/>
            <a:gd name="connsiteX5" fmla="*/ 211931 w 918985"/>
            <a:gd name="connsiteY5" fmla="*/ 1148647 h 1148647"/>
            <a:gd name="connsiteX6" fmla="*/ 0 w 918985"/>
            <a:gd name="connsiteY6" fmla="*/ 950119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0 w 918985"/>
            <a:gd name="connsiteY2" fmla="*/ 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638175 w 918985"/>
            <a:gd name="connsiteY2" fmla="*/ 13335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5" fmla="*/ 211931 w 918985"/>
            <a:gd name="connsiteY5" fmla="*/ 1042682 h 1148647"/>
            <a:gd name="connsiteX6" fmla="*/ 211931 w 918985"/>
            <a:gd name="connsiteY6" fmla="*/ 1148647 h 1148647"/>
            <a:gd name="connsiteX7" fmla="*/ 0 w 918985"/>
            <a:gd name="connsiteY7" fmla="*/ 950119 h 1148647"/>
            <a:gd name="connsiteX8" fmla="*/ 211931 w 918985"/>
            <a:gd name="connsiteY8" fmla="*/ 724785 h 1148647"/>
            <a:gd name="connsiteX9" fmla="*/ 211931 w 918985"/>
            <a:gd name="connsiteY9" fmla="*/ 830750 h 1148647"/>
            <a:gd name="connsiteX10" fmla="*/ 820574 w 918985"/>
            <a:gd name="connsiteY10" fmla="*/ 528041 h 1148647"/>
            <a:gd name="connsiteX0" fmla="*/ 11229 w 930214"/>
            <a:gd name="connsiteY0" fmla="*/ 950119 h 1148647"/>
            <a:gd name="connsiteX1" fmla="*/ 223160 w 930214"/>
            <a:gd name="connsiteY1" fmla="*/ 724785 h 1148647"/>
            <a:gd name="connsiteX2" fmla="*/ 223160 w 930214"/>
            <a:gd name="connsiteY2" fmla="*/ 830750 h 1148647"/>
            <a:gd name="connsiteX3" fmla="*/ 831803 w 930214"/>
            <a:gd name="connsiteY3" fmla="*/ 528041 h 1148647"/>
            <a:gd name="connsiteX4" fmla="*/ 223160 w 930214"/>
            <a:gd name="connsiteY4" fmla="*/ 1042681 h 1148647"/>
            <a:gd name="connsiteX5" fmla="*/ 223160 w 930214"/>
            <a:gd name="connsiteY5" fmla="*/ 1148647 h 1148647"/>
            <a:gd name="connsiteX6" fmla="*/ 11229 w 930214"/>
            <a:gd name="connsiteY6" fmla="*/ 950119 h 1148647"/>
            <a:gd name="connsiteX0" fmla="*/ 858954 w 930214"/>
            <a:gd name="connsiteY0" fmla="*/ 634008 h 1148647"/>
            <a:gd name="connsiteX1" fmla="*/ 11229 w 930214"/>
            <a:gd name="connsiteY1" fmla="*/ 211931 h 1148647"/>
            <a:gd name="connsiteX2" fmla="*/ 11229 w 930214"/>
            <a:gd name="connsiteY2" fmla="*/ 0 h 1148647"/>
            <a:gd name="connsiteX3" fmla="*/ 858954 w 930214"/>
            <a:gd name="connsiteY3" fmla="*/ 422077 h 1148647"/>
            <a:gd name="connsiteX4" fmla="*/ 858954 w 930214"/>
            <a:gd name="connsiteY4" fmla="*/ 634008 h 1148647"/>
            <a:gd name="connsiteX0" fmla="*/ 858954 w 930214"/>
            <a:gd name="connsiteY0" fmla="*/ 634008 h 1148647"/>
            <a:gd name="connsiteX1" fmla="*/ 668454 w 930214"/>
            <a:gd name="connsiteY1" fmla="*/ 342901 h 1148647"/>
            <a:gd name="connsiteX2" fmla="*/ 11229 w 930214"/>
            <a:gd name="connsiteY2" fmla="*/ 211931 h 1148647"/>
            <a:gd name="connsiteX3" fmla="*/ 649404 w 930214"/>
            <a:gd name="connsiteY3" fmla="*/ 133350 h 1148647"/>
            <a:gd name="connsiteX4" fmla="*/ 858954 w 930214"/>
            <a:gd name="connsiteY4" fmla="*/ 422077 h 1148647"/>
            <a:gd name="connsiteX5" fmla="*/ 858954 w 930214"/>
            <a:gd name="connsiteY5" fmla="*/ 634008 h 1148647"/>
            <a:gd name="connsiteX6" fmla="*/ 223160 w 930214"/>
            <a:gd name="connsiteY6" fmla="*/ 1042682 h 1148647"/>
            <a:gd name="connsiteX7" fmla="*/ 223160 w 930214"/>
            <a:gd name="connsiteY7" fmla="*/ 1148647 h 1148647"/>
            <a:gd name="connsiteX8" fmla="*/ 11229 w 930214"/>
            <a:gd name="connsiteY8" fmla="*/ 950119 h 1148647"/>
            <a:gd name="connsiteX9" fmla="*/ 223160 w 930214"/>
            <a:gd name="connsiteY9" fmla="*/ 724785 h 1148647"/>
            <a:gd name="connsiteX10" fmla="*/ 223160 w 930214"/>
            <a:gd name="connsiteY10" fmla="*/ 830750 h 1148647"/>
            <a:gd name="connsiteX11" fmla="*/ 831803 w 930214"/>
            <a:gd name="connsiteY11" fmla="*/ 528041 h 1148647"/>
            <a:gd name="connsiteX0" fmla="*/ 0 w 918985"/>
            <a:gd name="connsiteY0" fmla="*/ 950119 h 1148647"/>
            <a:gd name="connsiteX1" fmla="*/ 211931 w 918985"/>
            <a:gd name="connsiteY1" fmla="*/ 724785 h 1148647"/>
            <a:gd name="connsiteX2" fmla="*/ 211931 w 918985"/>
            <a:gd name="connsiteY2" fmla="*/ 830750 h 1148647"/>
            <a:gd name="connsiteX3" fmla="*/ 820574 w 918985"/>
            <a:gd name="connsiteY3" fmla="*/ 528041 h 1148647"/>
            <a:gd name="connsiteX4" fmla="*/ 211931 w 918985"/>
            <a:gd name="connsiteY4" fmla="*/ 1042681 h 1148647"/>
            <a:gd name="connsiteX5" fmla="*/ 211931 w 918985"/>
            <a:gd name="connsiteY5" fmla="*/ 1148647 h 1148647"/>
            <a:gd name="connsiteX6" fmla="*/ 0 w 918985"/>
            <a:gd name="connsiteY6" fmla="*/ 950119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0 w 918985"/>
            <a:gd name="connsiteY2" fmla="*/ 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0" fmla="*/ 847725 w 918985"/>
            <a:gd name="connsiteY0" fmla="*/ 634008 h 1148647"/>
            <a:gd name="connsiteX1" fmla="*/ 657225 w 918985"/>
            <a:gd name="connsiteY1" fmla="*/ 342901 h 1148647"/>
            <a:gd name="connsiteX2" fmla="*/ 676275 w 918985"/>
            <a:gd name="connsiteY2" fmla="*/ 307181 h 1148647"/>
            <a:gd name="connsiteX3" fmla="*/ 638175 w 918985"/>
            <a:gd name="connsiteY3" fmla="*/ 133350 h 1148647"/>
            <a:gd name="connsiteX4" fmla="*/ 847725 w 918985"/>
            <a:gd name="connsiteY4" fmla="*/ 422077 h 1148647"/>
            <a:gd name="connsiteX5" fmla="*/ 847725 w 918985"/>
            <a:gd name="connsiteY5" fmla="*/ 634008 h 1148647"/>
            <a:gd name="connsiteX6" fmla="*/ 211931 w 918985"/>
            <a:gd name="connsiteY6" fmla="*/ 1042682 h 1148647"/>
            <a:gd name="connsiteX7" fmla="*/ 211931 w 918985"/>
            <a:gd name="connsiteY7" fmla="*/ 1148647 h 1148647"/>
            <a:gd name="connsiteX8" fmla="*/ 0 w 918985"/>
            <a:gd name="connsiteY8" fmla="*/ 950119 h 1148647"/>
            <a:gd name="connsiteX9" fmla="*/ 211931 w 918985"/>
            <a:gd name="connsiteY9" fmla="*/ 724785 h 1148647"/>
            <a:gd name="connsiteX10" fmla="*/ 211931 w 918985"/>
            <a:gd name="connsiteY10" fmla="*/ 830750 h 1148647"/>
            <a:gd name="connsiteX11" fmla="*/ 820574 w 918985"/>
            <a:gd name="connsiteY11" fmla="*/ 528041 h 1148647"/>
            <a:gd name="connsiteX0" fmla="*/ 0 w 918985"/>
            <a:gd name="connsiteY0" fmla="*/ 816769 h 1015297"/>
            <a:gd name="connsiteX1" fmla="*/ 211931 w 918985"/>
            <a:gd name="connsiteY1" fmla="*/ 591435 h 1015297"/>
            <a:gd name="connsiteX2" fmla="*/ 211931 w 918985"/>
            <a:gd name="connsiteY2" fmla="*/ 697400 h 1015297"/>
            <a:gd name="connsiteX3" fmla="*/ 820574 w 918985"/>
            <a:gd name="connsiteY3" fmla="*/ 394691 h 1015297"/>
            <a:gd name="connsiteX4" fmla="*/ 211931 w 918985"/>
            <a:gd name="connsiteY4" fmla="*/ 909331 h 1015297"/>
            <a:gd name="connsiteX5" fmla="*/ 211931 w 918985"/>
            <a:gd name="connsiteY5" fmla="*/ 1015297 h 1015297"/>
            <a:gd name="connsiteX6" fmla="*/ 0 w 918985"/>
            <a:gd name="connsiteY6" fmla="*/ 816769 h 1015297"/>
            <a:gd name="connsiteX0" fmla="*/ 847725 w 918985"/>
            <a:gd name="connsiteY0" fmla="*/ 500658 h 1015297"/>
            <a:gd name="connsiteX1" fmla="*/ 0 w 918985"/>
            <a:gd name="connsiteY1" fmla="*/ 78581 h 1015297"/>
            <a:gd name="connsiteX2" fmla="*/ 847725 w 918985"/>
            <a:gd name="connsiteY2" fmla="*/ 288727 h 1015297"/>
            <a:gd name="connsiteX3" fmla="*/ 847725 w 918985"/>
            <a:gd name="connsiteY3" fmla="*/ 500658 h 1015297"/>
            <a:gd name="connsiteX0" fmla="*/ 847725 w 918985"/>
            <a:gd name="connsiteY0" fmla="*/ 500658 h 1015297"/>
            <a:gd name="connsiteX1" fmla="*/ 657225 w 918985"/>
            <a:gd name="connsiteY1" fmla="*/ 209551 h 1015297"/>
            <a:gd name="connsiteX2" fmla="*/ 676275 w 918985"/>
            <a:gd name="connsiteY2" fmla="*/ 173831 h 1015297"/>
            <a:gd name="connsiteX3" fmla="*/ 638175 w 918985"/>
            <a:gd name="connsiteY3" fmla="*/ 0 h 1015297"/>
            <a:gd name="connsiteX4" fmla="*/ 847725 w 918985"/>
            <a:gd name="connsiteY4" fmla="*/ 288727 h 1015297"/>
            <a:gd name="connsiteX5" fmla="*/ 847725 w 918985"/>
            <a:gd name="connsiteY5" fmla="*/ 500658 h 1015297"/>
            <a:gd name="connsiteX6" fmla="*/ 211931 w 918985"/>
            <a:gd name="connsiteY6" fmla="*/ 909332 h 1015297"/>
            <a:gd name="connsiteX7" fmla="*/ 211931 w 918985"/>
            <a:gd name="connsiteY7" fmla="*/ 1015297 h 1015297"/>
            <a:gd name="connsiteX8" fmla="*/ 0 w 918985"/>
            <a:gd name="connsiteY8" fmla="*/ 816769 h 1015297"/>
            <a:gd name="connsiteX9" fmla="*/ 211931 w 918985"/>
            <a:gd name="connsiteY9" fmla="*/ 591435 h 1015297"/>
            <a:gd name="connsiteX10" fmla="*/ 211931 w 918985"/>
            <a:gd name="connsiteY10" fmla="*/ 697400 h 1015297"/>
            <a:gd name="connsiteX11" fmla="*/ 820574 w 918985"/>
            <a:gd name="connsiteY11" fmla="*/ 394691 h 1015297"/>
            <a:gd name="connsiteX0" fmla="*/ 0 w 918985"/>
            <a:gd name="connsiteY0" fmla="*/ 816769 h 1015297"/>
            <a:gd name="connsiteX1" fmla="*/ 211931 w 918985"/>
            <a:gd name="connsiteY1" fmla="*/ 591435 h 1015297"/>
            <a:gd name="connsiteX2" fmla="*/ 211931 w 918985"/>
            <a:gd name="connsiteY2" fmla="*/ 697400 h 1015297"/>
            <a:gd name="connsiteX3" fmla="*/ 820574 w 918985"/>
            <a:gd name="connsiteY3" fmla="*/ 394691 h 1015297"/>
            <a:gd name="connsiteX4" fmla="*/ 211931 w 918985"/>
            <a:gd name="connsiteY4" fmla="*/ 909331 h 1015297"/>
            <a:gd name="connsiteX5" fmla="*/ 211931 w 918985"/>
            <a:gd name="connsiteY5" fmla="*/ 1015297 h 1015297"/>
            <a:gd name="connsiteX6" fmla="*/ 0 w 918985"/>
            <a:gd name="connsiteY6" fmla="*/ 816769 h 1015297"/>
            <a:gd name="connsiteX0" fmla="*/ 847725 w 918985"/>
            <a:gd name="connsiteY0" fmla="*/ 500658 h 1015297"/>
            <a:gd name="connsiteX1" fmla="*/ 847725 w 918985"/>
            <a:gd name="connsiteY1" fmla="*/ 288727 h 1015297"/>
            <a:gd name="connsiteX2" fmla="*/ 847725 w 918985"/>
            <a:gd name="connsiteY2" fmla="*/ 500658 h 1015297"/>
            <a:gd name="connsiteX0" fmla="*/ 847725 w 918985"/>
            <a:gd name="connsiteY0" fmla="*/ 500658 h 1015297"/>
            <a:gd name="connsiteX1" fmla="*/ 657225 w 918985"/>
            <a:gd name="connsiteY1" fmla="*/ 209551 h 1015297"/>
            <a:gd name="connsiteX2" fmla="*/ 676275 w 918985"/>
            <a:gd name="connsiteY2" fmla="*/ 173831 h 1015297"/>
            <a:gd name="connsiteX3" fmla="*/ 638175 w 918985"/>
            <a:gd name="connsiteY3" fmla="*/ 0 h 1015297"/>
            <a:gd name="connsiteX4" fmla="*/ 847725 w 918985"/>
            <a:gd name="connsiteY4" fmla="*/ 288727 h 1015297"/>
            <a:gd name="connsiteX5" fmla="*/ 847725 w 918985"/>
            <a:gd name="connsiteY5" fmla="*/ 500658 h 1015297"/>
            <a:gd name="connsiteX6" fmla="*/ 211931 w 918985"/>
            <a:gd name="connsiteY6" fmla="*/ 909332 h 1015297"/>
            <a:gd name="connsiteX7" fmla="*/ 211931 w 918985"/>
            <a:gd name="connsiteY7" fmla="*/ 1015297 h 1015297"/>
            <a:gd name="connsiteX8" fmla="*/ 0 w 918985"/>
            <a:gd name="connsiteY8" fmla="*/ 816769 h 1015297"/>
            <a:gd name="connsiteX9" fmla="*/ 211931 w 918985"/>
            <a:gd name="connsiteY9" fmla="*/ 591435 h 1015297"/>
            <a:gd name="connsiteX10" fmla="*/ 211931 w 918985"/>
            <a:gd name="connsiteY10" fmla="*/ 697400 h 1015297"/>
            <a:gd name="connsiteX11" fmla="*/ 820574 w 918985"/>
            <a:gd name="connsiteY11" fmla="*/ 394691 h 1015297"/>
            <a:gd name="connsiteX0" fmla="*/ 0 w 918985"/>
            <a:gd name="connsiteY0" fmla="*/ 817643 h 1016171"/>
            <a:gd name="connsiteX1" fmla="*/ 211931 w 918985"/>
            <a:gd name="connsiteY1" fmla="*/ 592309 h 1016171"/>
            <a:gd name="connsiteX2" fmla="*/ 211931 w 918985"/>
            <a:gd name="connsiteY2" fmla="*/ 698274 h 1016171"/>
            <a:gd name="connsiteX3" fmla="*/ 820574 w 918985"/>
            <a:gd name="connsiteY3" fmla="*/ 395565 h 1016171"/>
            <a:gd name="connsiteX4" fmla="*/ 211931 w 918985"/>
            <a:gd name="connsiteY4" fmla="*/ 910205 h 1016171"/>
            <a:gd name="connsiteX5" fmla="*/ 211931 w 918985"/>
            <a:gd name="connsiteY5" fmla="*/ 1016171 h 1016171"/>
            <a:gd name="connsiteX6" fmla="*/ 0 w 918985"/>
            <a:gd name="connsiteY6" fmla="*/ 817643 h 1016171"/>
            <a:gd name="connsiteX0" fmla="*/ 847725 w 918985"/>
            <a:gd name="connsiteY0" fmla="*/ 501532 h 1016171"/>
            <a:gd name="connsiteX1" fmla="*/ 847725 w 918985"/>
            <a:gd name="connsiteY1" fmla="*/ 289601 h 1016171"/>
            <a:gd name="connsiteX2" fmla="*/ 847725 w 918985"/>
            <a:gd name="connsiteY2" fmla="*/ 501532 h 1016171"/>
            <a:gd name="connsiteX0" fmla="*/ 847725 w 918985"/>
            <a:gd name="connsiteY0" fmla="*/ 501532 h 1016171"/>
            <a:gd name="connsiteX1" fmla="*/ 657225 w 918985"/>
            <a:gd name="connsiteY1" fmla="*/ 210425 h 1016171"/>
            <a:gd name="connsiteX2" fmla="*/ 638175 w 918985"/>
            <a:gd name="connsiteY2" fmla="*/ 874 h 1016171"/>
            <a:gd name="connsiteX3" fmla="*/ 847725 w 918985"/>
            <a:gd name="connsiteY3" fmla="*/ 289601 h 1016171"/>
            <a:gd name="connsiteX4" fmla="*/ 847725 w 918985"/>
            <a:gd name="connsiteY4" fmla="*/ 501532 h 1016171"/>
            <a:gd name="connsiteX5" fmla="*/ 211931 w 918985"/>
            <a:gd name="connsiteY5" fmla="*/ 910206 h 1016171"/>
            <a:gd name="connsiteX6" fmla="*/ 211931 w 918985"/>
            <a:gd name="connsiteY6" fmla="*/ 1016171 h 1016171"/>
            <a:gd name="connsiteX7" fmla="*/ 0 w 918985"/>
            <a:gd name="connsiteY7" fmla="*/ 817643 h 1016171"/>
            <a:gd name="connsiteX8" fmla="*/ 211931 w 918985"/>
            <a:gd name="connsiteY8" fmla="*/ 592309 h 1016171"/>
            <a:gd name="connsiteX9" fmla="*/ 211931 w 918985"/>
            <a:gd name="connsiteY9" fmla="*/ 698274 h 1016171"/>
            <a:gd name="connsiteX10" fmla="*/ 820574 w 918985"/>
            <a:gd name="connsiteY10" fmla="*/ 395565 h 1016171"/>
            <a:gd name="connsiteX0" fmla="*/ 0 w 847931"/>
            <a:gd name="connsiteY0" fmla="*/ 617208 h 815736"/>
            <a:gd name="connsiteX1" fmla="*/ 211931 w 847931"/>
            <a:gd name="connsiteY1" fmla="*/ 391874 h 815736"/>
            <a:gd name="connsiteX2" fmla="*/ 211931 w 847931"/>
            <a:gd name="connsiteY2" fmla="*/ 497839 h 815736"/>
            <a:gd name="connsiteX3" fmla="*/ 820574 w 847931"/>
            <a:gd name="connsiteY3" fmla="*/ 195130 h 815736"/>
            <a:gd name="connsiteX4" fmla="*/ 211931 w 847931"/>
            <a:gd name="connsiteY4" fmla="*/ 709770 h 815736"/>
            <a:gd name="connsiteX5" fmla="*/ 211931 w 847931"/>
            <a:gd name="connsiteY5" fmla="*/ 815736 h 815736"/>
            <a:gd name="connsiteX6" fmla="*/ 0 w 847931"/>
            <a:gd name="connsiteY6" fmla="*/ 617208 h 815736"/>
            <a:gd name="connsiteX0" fmla="*/ 847725 w 847931"/>
            <a:gd name="connsiteY0" fmla="*/ 301097 h 815736"/>
            <a:gd name="connsiteX1" fmla="*/ 847725 w 847931"/>
            <a:gd name="connsiteY1" fmla="*/ 89166 h 815736"/>
            <a:gd name="connsiteX2" fmla="*/ 847725 w 847931"/>
            <a:gd name="connsiteY2" fmla="*/ 301097 h 815736"/>
            <a:gd name="connsiteX0" fmla="*/ 847725 w 847931"/>
            <a:gd name="connsiteY0" fmla="*/ 301097 h 815736"/>
            <a:gd name="connsiteX1" fmla="*/ 657225 w 847931"/>
            <a:gd name="connsiteY1" fmla="*/ 9990 h 815736"/>
            <a:gd name="connsiteX2" fmla="*/ 847725 w 847931"/>
            <a:gd name="connsiteY2" fmla="*/ 89166 h 815736"/>
            <a:gd name="connsiteX3" fmla="*/ 847725 w 847931"/>
            <a:gd name="connsiteY3" fmla="*/ 301097 h 815736"/>
            <a:gd name="connsiteX4" fmla="*/ 211931 w 847931"/>
            <a:gd name="connsiteY4" fmla="*/ 709771 h 815736"/>
            <a:gd name="connsiteX5" fmla="*/ 211931 w 847931"/>
            <a:gd name="connsiteY5" fmla="*/ 815736 h 815736"/>
            <a:gd name="connsiteX6" fmla="*/ 0 w 847931"/>
            <a:gd name="connsiteY6" fmla="*/ 617208 h 815736"/>
            <a:gd name="connsiteX7" fmla="*/ 211931 w 847931"/>
            <a:gd name="connsiteY7" fmla="*/ 391874 h 815736"/>
            <a:gd name="connsiteX8" fmla="*/ 211931 w 847931"/>
            <a:gd name="connsiteY8" fmla="*/ 497839 h 815736"/>
            <a:gd name="connsiteX9" fmla="*/ 820574 w 847931"/>
            <a:gd name="connsiteY9" fmla="*/ 195130 h 815736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3" fmla="*/ 211931 w 847931"/>
            <a:gd name="connsiteY3" fmla="*/ 620605 h 726570"/>
            <a:gd name="connsiteX4" fmla="*/ 211931 w 847931"/>
            <a:gd name="connsiteY4" fmla="*/ 726570 h 726570"/>
            <a:gd name="connsiteX5" fmla="*/ 0 w 847931"/>
            <a:gd name="connsiteY5" fmla="*/ 528042 h 726570"/>
            <a:gd name="connsiteX6" fmla="*/ 211931 w 847931"/>
            <a:gd name="connsiteY6" fmla="*/ 302708 h 726570"/>
            <a:gd name="connsiteX7" fmla="*/ 211931 w 847931"/>
            <a:gd name="connsiteY7" fmla="*/ 408673 h 726570"/>
            <a:gd name="connsiteX8" fmla="*/ 820574 w 847931"/>
            <a:gd name="connsiteY8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211931 h 726570"/>
            <a:gd name="connsiteX2" fmla="*/ 211931 w 847931"/>
            <a:gd name="connsiteY2" fmla="*/ 620605 h 726570"/>
            <a:gd name="connsiteX3" fmla="*/ 211931 w 847931"/>
            <a:gd name="connsiteY3" fmla="*/ 726570 h 726570"/>
            <a:gd name="connsiteX4" fmla="*/ 0 w 847931"/>
            <a:gd name="connsiteY4" fmla="*/ 528042 h 726570"/>
            <a:gd name="connsiteX5" fmla="*/ 211931 w 847931"/>
            <a:gd name="connsiteY5" fmla="*/ 302708 h 726570"/>
            <a:gd name="connsiteX6" fmla="*/ 211931 w 847931"/>
            <a:gd name="connsiteY6" fmla="*/ 408673 h 726570"/>
            <a:gd name="connsiteX7" fmla="*/ 820574 w 847931"/>
            <a:gd name="connsiteY7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211931 w 847931"/>
            <a:gd name="connsiteY2" fmla="*/ 620605 h 726570"/>
            <a:gd name="connsiteX3" fmla="*/ 211931 w 847931"/>
            <a:gd name="connsiteY3" fmla="*/ 726570 h 726570"/>
            <a:gd name="connsiteX4" fmla="*/ 0 w 847931"/>
            <a:gd name="connsiteY4" fmla="*/ 528042 h 726570"/>
            <a:gd name="connsiteX5" fmla="*/ 211931 w 847931"/>
            <a:gd name="connsiteY5" fmla="*/ 302708 h 726570"/>
            <a:gd name="connsiteX6" fmla="*/ 211931 w 847931"/>
            <a:gd name="connsiteY6" fmla="*/ 408673 h 726570"/>
            <a:gd name="connsiteX7" fmla="*/ 820574 w 847931"/>
            <a:gd name="connsiteY7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766763 w 847931"/>
            <a:gd name="connsiteY2" fmla="*/ 397073 h 726570"/>
            <a:gd name="connsiteX3" fmla="*/ 211931 w 847931"/>
            <a:gd name="connsiteY3" fmla="*/ 620605 h 726570"/>
            <a:gd name="connsiteX4" fmla="*/ 211931 w 847931"/>
            <a:gd name="connsiteY4" fmla="*/ 726570 h 726570"/>
            <a:gd name="connsiteX5" fmla="*/ 0 w 847931"/>
            <a:gd name="connsiteY5" fmla="*/ 528042 h 726570"/>
            <a:gd name="connsiteX6" fmla="*/ 211931 w 847931"/>
            <a:gd name="connsiteY6" fmla="*/ 302708 h 726570"/>
            <a:gd name="connsiteX7" fmla="*/ 211931 w 847931"/>
            <a:gd name="connsiteY7" fmla="*/ 408673 h 726570"/>
            <a:gd name="connsiteX8" fmla="*/ 820574 w 847931"/>
            <a:gd name="connsiteY8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20574 w 847931"/>
            <a:gd name="connsiteY9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20574 w 847931"/>
            <a:gd name="connsiteY9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39624 w 847931"/>
            <a:gd name="connsiteY9" fmla="*/ 101201 h 726570"/>
            <a:gd name="connsiteX0" fmla="*/ 0 w 953924"/>
            <a:gd name="connsiteY0" fmla="*/ 528042 h 726570"/>
            <a:gd name="connsiteX1" fmla="*/ 211931 w 953924"/>
            <a:gd name="connsiteY1" fmla="*/ 302708 h 726570"/>
            <a:gd name="connsiteX2" fmla="*/ 211931 w 953924"/>
            <a:gd name="connsiteY2" fmla="*/ 408673 h 726570"/>
            <a:gd name="connsiteX3" fmla="*/ 820574 w 953924"/>
            <a:gd name="connsiteY3" fmla="*/ 105964 h 726570"/>
            <a:gd name="connsiteX4" fmla="*/ 211931 w 953924"/>
            <a:gd name="connsiteY4" fmla="*/ 620604 h 726570"/>
            <a:gd name="connsiteX5" fmla="*/ 211931 w 953924"/>
            <a:gd name="connsiteY5" fmla="*/ 726570 h 726570"/>
            <a:gd name="connsiteX6" fmla="*/ 0 w 953924"/>
            <a:gd name="connsiteY6" fmla="*/ 528042 h 726570"/>
            <a:gd name="connsiteX0" fmla="*/ 847725 w 953924"/>
            <a:gd name="connsiteY0" fmla="*/ 211931 h 726570"/>
            <a:gd name="connsiteX1" fmla="*/ 847725 w 953924"/>
            <a:gd name="connsiteY1" fmla="*/ 0 h 726570"/>
            <a:gd name="connsiteX2" fmla="*/ 847725 w 953924"/>
            <a:gd name="connsiteY2" fmla="*/ 211931 h 726570"/>
            <a:gd name="connsiteX0" fmla="*/ 847725 w 953924"/>
            <a:gd name="connsiteY0" fmla="*/ 211931 h 726570"/>
            <a:gd name="connsiteX1" fmla="*/ 842962 w 953924"/>
            <a:gd name="connsiteY1" fmla="*/ 97631 h 726570"/>
            <a:gd name="connsiteX2" fmla="*/ 766763 w 953924"/>
            <a:gd name="connsiteY2" fmla="*/ 397073 h 726570"/>
            <a:gd name="connsiteX3" fmla="*/ 509588 w 953924"/>
            <a:gd name="connsiteY3" fmla="*/ 544711 h 726570"/>
            <a:gd name="connsiteX4" fmla="*/ 211931 w 953924"/>
            <a:gd name="connsiteY4" fmla="*/ 620605 h 726570"/>
            <a:gd name="connsiteX5" fmla="*/ 211931 w 953924"/>
            <a:gd name="connsiteY5" fmla="*/ 726570 h 726570"/>
            <a:gd name="connsiteX6" fmla="*/ 0 w 953924"/>
            <a:gd name="connsiteY6" fmla="*/ 528042 h 726570"/>
            <a:gd name="connsiteX7" fmla="*/ 211931 w 953924"/>
            <a:gd name="connsiteY7" fmla="*/ 302708 h 726570"/>
            <a:gd name="connsiteX8" fmla="*/ 211931 w 953924"/>
            <a:gd name="connsiteY8" fmla="*/ 408673 h 726570"/>
            <a:gd name="connsiteX9" fmla="*/ 953924 w 953924"/>
            <a:gd name="connsiteY9" fmla="*/ 220263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30099 w 847931"/>
            <a:gd name="connsiteY9" fmla="*/ 105963 h 7265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847931" h="726570" stroke="0" extrusionOk="0">
              <a:moveTo>
                <a:pt x="0" y="528042"/>
              </a:moveTo>
              <a:lnTo>
                <a:pt x="211931" y="302708"/>
              </a:lnTo>
              <a:lnTo>
                <a:pt x="211931" y="408673"/>
              </a:lnTo>
              <a:cubicBezTo>
                <a:pt x="510211" y="370327"/>
                <a:pt x="743233" y="254434"/>
                <a:pt x="820574" y="105964"/>
              </a:cubicBezTo>
              <a:cubicBezTo>
                <a:pt x="938206" y="331779"/>
                <a:pt x="665600" y="562282"/>
                <a:pt x="211931" y="620604"/>
              </a:cubicBezTo>
              <a:lnTo>
                <a:pt x="211931" y="726570"/>
              </a:lnTo>
              <a:lnTo>
                <a:pt x="0" y="528042"/>
              </a:lnTo>
              <a:close/>
            </a:path>
            <a:path w="847931" h="726570" fill="darkenLess" stroke="0" extrusionOk="0">
              <a:moveTo>
                <a:pt x="847725" y="211931"/>
              </a:moveTo>
              <a:lnTo>
                <a:pt x="847725" y="0"/>
              </a:lnTo>
              <a:lnTo>
                <a:pt x="847725" y="211931"/>
              </a:lnTo>
              <a:close/>
            </a:path>
            <a:path w="847931" h="726570" fill="none" extrusionOk="0">
              <a:moveTo>
                <a:pt x="847725" y="211931"/>
              </a:moveTo>
              <a:lnTo>
                <a:pt x="842962" y="97631"/>
              </a:lnTo>
              <a:cubicBezTo>
                <a:pt x="823912" y="124519"/>
                <a:pt x="872729" y="314673"/>
                <a:pt x="766763" y="397073"/>
              </a:cubicBezTo>
              <a:cubicBezTo>
                <a:pt x="709613" y="462061"/>
                <a:pt x="602060" y="507456"/>
                <a:pt x="509588" y="544711"/>
              </a:cubicBezTo>
              <a:cubicBezTo>
                <a:pt x="417116" y="581966"/>
                <a:pt x="260747" y="585533"/>
                <a:pt x="211931" y="620605"/>
              </a:cubicBezTo>
              <a:lnTo>
                <a:pt x="211931" y="726570"/>
              </a:lnTo>
              <a:lnTo>
                <a:pt x="0" y="528042"/>
              </a:lnTo>
              <a:lnTo>
                <a:pt x="211931" y="302708"/>
              </a:lnTo>
              <a:lnTo>
                <a:pt x="211931" y="408673"/>
              </a:lnTo>
              <a:cubicBezTo>
                <a:pt x="510211" y="370327"/>
                <a:pt x="752758" y="254433"/>
                <a:pt x="830099" y="105963"/>
              </a:cubicBezTo>
            </a:path>
          </a:pathLst>
        </a:cu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oneCellAnchor>
    <xdr:from>
      <xdr:col>3</xdr:col>
      <xdr:colOff>107255</xdr:colOff>
      <xdr:row>0</xdr:row>
      <xdr:rowOff>69850</xdr:rowOff>
    </xdr:from>
    <xdr:ext cx="3521990" cy="74982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90205" y="69850"/>
          <a:ext cx="3521990" cy="7498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 i="1">
              <a:solidFill>
                <a:srgbClr val="C00000"/>
              </a:solidFill>
              <a:latin typeface="+mn-lt"/>
            </a:rPr>
            <a:t>Paste Loss run</a:t>
          </a:r>
          <a:r>
            <a:rPr lang="en-US" sz="1400" b="1" i="1" baseline="0">
              <a:solidFill>
                <a:srgbClr val="C00000"/>
              </a:solidFill>
              <a:latin typeface="+mn-lt"/>
            </a:rPr>
            <a:t> recent closed year in</a:t>
          </a:r>
          <a:endParaRPr lang="en-US" sz="1400" b="1" i="1">
            <a:solidFill>
              <a:srgbClr val="C00000"/>
            </a:solidFill>
            <a:latin typeface="+mn-lt"/>
          </a:endParaRPr>
        </a:p>
        <a:p>
          <a:r>
            <a:rPr lang="en-US" sz="1400" b="1" i="1">
              <a:solidFill>
                <a:schemeClr val="bg1"/>
              </a:solidFill>
              <a:latin typeface="+mn-lt"/>
            </a:rPr>
            <a:t>white</a:t>
          </a:r>
          <a:r>
            <a:rPr lang="en-US" sz="1400" b="1" i="1">
              <a:latin typeface="+mn-lt"/>
            </a:rPr>
            <a:t> </a:t>
          </a:r>
          <a:r>
            <a:rPr lang="en-US" sz="1400" b="1" i="1">
              <a:solidFill>
                <a:srgbClr val="C00000"/>
              </a:solidFill>
              <a:latin typeface="+mn-lt"/>
            </a:rPr>
            <a:t>areas.</a:t>
          </a:r>
          <a:r>
            <a:rPr lang="en-US" sz="1400" b="1" i="1" baseline="0">
              <a:solidFill>
                <a:srgbClr val="C00000"/>
              </a:solidFill>
              <a:latin typeface="+mn-lt"/>
            </a:rPr>
            <a:t> We will use default parameters</a:t>
          </a:r>
        </a:p>
        <a:p>
          <a:r>
            <a:rPr lang="en-US" sz="1400" b="1" i="1" baseline="0">
              <a:solidFill>
                <a:srgbClr val="C00000"/>
              </a:solidFill>
              <a:latin typeface="+mn-lt"/>
            </a:rPr>
            <a:t>if no data entered here.</a:t>
          </a:r>
          <a:endParaRPr lang="en-US" sz="1400" b="1" i="1">
            <a:solidFill>
              <a:srgbClr val="C00000"/>
            </a:solidFill>
            <a:latin typeface="+mn-lt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5</xdr:row>
          <xdr:rowOff>177800</xdr:rowOff>
        </xdr:from>
        <xdr:to>
          <xdr:col>6</xdr:col>
          <xdr:colOff>596900</xdr:colOff>
          <xdr:row>8</xdr:row>
          <xdr:rowOff>76200</xdr:rowOff>
        </xdr:to>
        <xdr:sp macro="" textlink="">
          <xdr:nvSpPr>
            <xdr:cNvPr id="33800" name="CommandButton1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3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146050</xdr:colOff>
      <xdr:row>20</xdr:row>
      <xdr:rowOff>75813</xdr:rowOff>
    </xdr:from>
    <xdr:to>
      <xdr:col>9</xdr:col>
      <xdr:colOff>253051</xdr:colOff>
      <xdr:row>21</xdr:row>
      <xdr:rowOff>231870</xdr:rowOff>
    </xdr:to>
    <xdr:sp macro="" textlink="">
      <xdr:nvSpPr>
        <xdr:cNvPr id="5" name="Curved Left Arrow 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20002402" flipV="1">
          <a:off x="8521700" y="3828663"/>
          <a:ext cx="716601" cy="340207"/>
        </a:xfrm>
        <a:custGeom>
          <a:avLst/>
          <a:gdLst>
            <a:gd name="connsiteX0" fmla="*/ 0 w 847725"/>
            <a:gd name="connsiteY0" fmla="*/ 950119 h 1162050"/>
            <a:gd name="connsiteX1" fmla="*/ 211931 w 847725"/>
            <a:gd name="connsiteY1" fmla="*/ 724785 h 1162050"/>
            <a:gd name="connsiteX2" fmla="*/ 211931 w 847725"/>
            <a:gd name="connsiteY2" fmla="*/ 830750 h 1162050"/>
            <a:gd name="connsiteX3" fmla="*/ 820574 w 847725"/>
            <a:gd name="connsiteY3" fmla="*/ 528041 h 1162050"/>
            <a:gd name="connsiteX4" fmla="*/ 211931 w 847725"/>
            <a:gd name="connsiteY4" fmla="*/ 1042681 h 1162050"/>
            <a:gd name="connsiteX5" fmla="*/ 211931 w 847725"/>
            <a:gd name="connsiteY5" fmla="*/ 1148647 h 1162050"/>
            <a:gd name="connsiteX6" fmla="*/ 0 w 847725"/>
            <a:gd name="connsiteY6" fmla="*/ 950119 h 1162050"/>
            <a:gd name="connsiteX0" fmla="*/ 847725 w 847725"/>
            <a:gd name="connsiteY0" fmla="*/ 634008 h 1162050"/>
            <a:gd name="connsiteX1" fmla="*/ 0 w 847725"/>
            <a:gd name="connsiteY1" fmla="*/ 211931 h 1162050"/>
            <a:gd name="connsiteX2" fmla="*/ 0 w 847725"/>
            <a:gd name="connsiteY2" fmla="*/ 0 h 1162050"/>
            <a:gd name="connsiteX3" fmla="*/ 847725 w 847725"/>
            <a:gd name="connsiteY3" fmla="*/ 422077 h 1162050"/>
            <a:gd name="connsiteX4" fmla="*/ 847725 w 847725"/>
            <a:gd name="connsiteY4" fmla="*/ 634008 h 1162050"/>
            <a:gd name="connsiteX0" fmla="*/ 847725 w 847725"/>
            <a:gd name="connsiteY0" fmla="*/ 634008 h 1162050"/>
            <a:gd name="connsiteX1" fmla="*/ 0 w 847725"/>
            <a:gd name="connsiteY1" fmla="*/ 211931 h 1162050"/>
            <a:gd name="connsiteX2" fmla="*/ 0 w 847725"/>
            <a:gd name="connsiteY2" fmla="*/ 0 h 1162050"/>
            <a:gd name="connsiteX3" fmla="*/ 847725 w 847725"/>
            <a:gd name="connsiteY3" fmla="*/ 422077 h 1162050"/>
            <a:gd name="connsiteX4" fmla="*/ 847725 w 847725"/>
            <a:gd name="connsiteY4" fmla="*/ 634008 h 1162050"/>
            <a:gd name="connsiteX5" fmla="*/ 211931 w 847725"/>
            <a:gd name="connsiteY5" fmla="*/ 1042682 h 1162050"/>
            <a:gd name="connsiteX6" fmla="*/ 211931 w 847725"/>
            <a:gd name="connsiteY6" fmla="*/ 1148647 h 1162050"/>
            <a:gd name="connsiteX7" fmla="*/ 0 w 847725"/>
            <a:gd name="connsiteY7" fmla="*/ 950119 h 1162050"/>
            <a:gd name="connsiteX8" fmla="*/ 211931 w 847725"/>
            <a:gd name="connsiteY8" fmla="*/ 724785 h 1162050"/>
            <a:gd name="connsiteX9" fmla="*/ 211931 w 847725"/>
            <a:gd name="connsiteY9" fmla="*/ 830750 h 1162050"/>
            <a:gd name="connsiteX10" fmla="*/ 820574 w 847725"/>
            <a:gd name="connsiteY10" fmla="*/ 528041 h 1162050"/>
            <a:gd name="connsiteX0" fmla="*/ 0 w 918985"/>
            <a:gd name="connsiteY0" fmla="*/ 950119 h 1148647"/>
            <a:gd name="connsiteX1" fmla="*/ 211931 w 918985"/>
            <a:gd name="connsiteY1" fmla="*/ 724785 h 1148647"/>
            <a:gd name="connsiteX2" fmla="*/ 211931 w 918985"/>
            <a:gd name="connsiteY2" fmla="*/ 830750 h 1148647"/>
            <a:gd name="connsiteX3" fmla="*/ 820574 w 918985"/>
            <a:gd name="connsiteY3" fmla="*/ 528041 h 1148647"/>
            <a:gd name="connsiteX4" fmla="*/ 211931 w 918985"/>
            <a:gd name="connsiteY4" fmla="*/ 1042681 h 1148647"/>
            <a:gd name="connsiteX5" fmla="*/ 211931 w 918985"/>
            <a:gd name="connsiteY5" fmla="*/ 1148647 h 1148647"/>
            <a:gd name="connsiteX6" fmla="*/ 0 w 918985"/>
            <a:gd name="connsiteY6" fmla="*/ 950119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0 w 918985"/>
            <a:gd name="connsiteY2" fmla="*/ 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638175 w 918985"/>
            <a:gd name="connsiteY2" fmla="*/ 13335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5" fmla="*/ 211931 w 918985"/>
            <a:gd name="connsiteY5" fmla="*/ 1042682 h 1148647"/>
            <a:gd name="connsiteX6" fmla="*/ 211931 w 918985"/>
            <a:gd name="connsiteY6" fmla="*/ 1148647 h 1148647"/>
            <a:gd name="connsiteX7" fmla="*/ 0 w 918985"/>
            <a:gd name="connsiteY7" fmla="*/ 950119 h 1148647"/>
            <a:gd name="connsiteX8" fmla="*/ 211931 w 918985"/>
            <a:gd name="connsiteY8" fmla="*/ 724785 h 1148647"/>
            <a:gd name="connsiteX9" fmla="*/ 211931 w 918985"/>
            <a:gd name="connsiteY9" fmla="*/ 830750 h 1148647"/>
            <a:gd name="connsiteX10" fmla="*/ 820574 w 918985"/>
            <a:gd name="connsiteY10" fmla="*/ 528041 h 1148647"/>
            <a:gd name="connsiteX0" fmla="*/ 11229 w 930214"/>
            <a:gd name="connsiteY0" fmla="*/ 950119 h 1148647"/>
            <a:gd name="connsiteX1" fmla="*/ 223160 w 930214"/>
            <a:gd name="connsiteY1" fmla="*/ 724785 h 1148647"/>
            <a:gd name="connsiteX2" fmla="*/ 223160 w 930214"/>
            <a:gd name="connsiteY2" fmla="*/ 830750 h 1148647"/>
            <a:gd name="connsiteX3" fmla="*/ 831803 w 930214"/>
            <a:gd name="connsiteY3" fmla="*/ 528041 h 1148647"/>
            <a:gd name="connsiteX4" fmla="*/ 223160 w 930214"/>
            <a:gd name="connsiteY4" fmla="*/ 1042681 h 1148647"/>
            <a:gd name="connsiteX5" fmla="*/ 223160 w 930214"/>
            <a:gd name="connsiteY5" fmla="*/ 1148647 h 1148647"/>
            <a:gd name="connsiteX6" fmla="*/ 11229 w 930214"/>
            <a:gd name="connsiteY6" fmla="*/ 950119 h 1148647"/>
            <a:gd name="connsiteX0" fmla="*/ 858954 w 930214"/>
            <a:gd name="connsiteY0" fmla="*/ 634008 h 1148647"/>
            <a:gd name="connsiteX1" fmla="*/ 11229 w 930214"/>
            <a:gd name="connsiteY1" fmla="*/ 211931 h 1148647"/>
            <a:gd name="connsiteX2" fmla="*/ 11229 w 930214"/>
            <a:gd name="connsiteY2" fmla="*/ 0 h 1148647"/>
            <a:gd name="connsiteX3" fmla="*/ 858954 w 930214"/>
            <a:gd name="connsiteY3" fmla="*/ 422077 h 1148647"/>
            <a:gd name="connsiteX4" fmla="*/ 858954 w 930214"/>
            <a:gd name="connsiteY4" fmla="*/ 634008 h 1148647"/>
            <a:gd name="connsiteX0" fmla="*/ 858954 w 930214"/>
            <a:gd name="connsiteY0" fmla="*/ 634008 h 1148647"/>
            <a:gd name="connsiteX1" fmla="*/ 668454 w 930214"/>
            <a:gd name="connsiteY1" fmla="*/ 342901 h 1148647"/>
            <a:gd name="connsiteX2" fmla="*/ 11229 w 930214"/>
            <a:gd name="connsiteY2" fmla="*/ 211931 h 1148647"/>
            <a:gd name="connsiteX3" fmla="*/ 649404 w 930214"/>
            <a:gd name="connsiteY3" fmla="*/ 133350 h 1148647"/>
            <a:gd name="connsiteX4" fmla="*/ 858954 w 930214"/>
            <a:gd name="connsiteY4" fmla="*/ 422077 h 1148647"/>
            <a:gd name="connsiteX5" fmla="*/ 858954 w 930214"/>
            <a:gd name="connsiteY5" fmla="*/ 634008 h 1148647"/>
            <a:gd name="connsiteX6" fmla="*/ 223160 w 930214"/>
            <a:gd name="connsiteY6" fmla="*/ 1042682 h 1148647"/>
            <a:gd name="connsiteX7" fmla="*/ 223160 w 930214"/>
            <a:gd name="connsiteY7" fmla="*/ 1148647 h 1148647"/>
            <a:gd name="connsiteX8" fmla="*/ 11229 w 930214"/>
            <a:gd name="connsiteY8" fmla="*/ 950119 h 1148647"/>
            <a:gd name="connsiteX9" fmla="*/ 223160 w 930214"/>
            <a:gd name="connsiteY9" fmla="*/ 724785 h 1148647"/>
            <a:gd name="connsiteX10" fmla="*/ 223160 w 930214"/>
            <a:gd name="connsiteY10" fmla="*/ 830750 h 1148647"/>
            <a:gd name="connsiteX11" fmla="*/ 831803 w 930214"/>
            <a:gd name="connsiteY11" fmla="*/ 528041 h 1148647"/>
            <a:gd name="connsiteX0" fmla="*/ 0 w 918985"/>
            <a:gd name="connsiteY0" fmla="*/ 950119 h 1148647"/>
            <a:gd name="connsiteX1" fmla="*/ 211931 w 918985"/>
            <a:gd name="connsiteY1" fmla="*/ 724785 h 1148647"/>
            <a:gd name="connsiteX2" fmla="*/ 211931 w 918985"/>
            <a:gd name="connsiteY2" fmla="*/ 830750 h 1148647"/>
            <a:gd name="connsiteX3" fmla="*/ 820574 w 918985"/>
            <a:gd name="connsiteY3" fmla="*/ 528041 h 1148647"/>
            <a:gd name="connsiteX4" fmla="*/ 211931 w 918985"/>
            <a:gd name="connsiteY4" fmla="*/ 1042681 h 1148647"/>
            <a:gd name="connsiteX5" fmla="*/ 211931 w 918985"/>
            <a:gd name="connsiteY5" fmla="*/ 1148647 h 1148647"/>
            <a:gd name="connsiteX6" fmla="*/ 0 w 918985"/>
            <a:gd name="connsiteY6" fmla="*/ 950119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0 w 918985"/>
            <a:gd name="connsiteY2" fmla="*/ 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0" fmla="*/ 847725 w 918985"/>
            <a:gd name="connsiteY0" fmla="*/ 634008 h 1148647"/>
            <a:gd name="connsiteX1" fmla="*/ 657225 w 918985"/>
            <a:gd name="connsiteY1" fmla="*/ 342901 h 1148647"/>
            <a:gd name="connsiteX2" fmla="*/ 676275 w 918985"/>
            <a:gd name="connsiteY2" fmla="*/ 307181 h 1148647"/>
            <a:gd name="connsiteX3" fmla="*/ 638175 w 918985"/>
            <a:gd name="connsiteY3" fmla="*/ 133350 h 1148647"/>
            <a:gd name="connsiteX4" fmla="*/ 847725 w 918985"/>
            <a:gd name="connsiteY4" fmla="*/ 422077 h 1148647"/>
            <a:gd name="connsiteX5" fmla="*/ 847725 w 918985"/>
            <a:gd name="connsiteY5" fmla="*/ 634008 h 1148647"/>
            <a:gd name="connsiteX6" fmla="*/ 211931 w 918985"/>
            <a:gd name="connsiteY6" fmla="*/ 1042682 h 1148647"/>
            <a:gd name="connsiteX7" fmla="*/ 211931 w 918985"/>
            <a:gd name="connsiteY7" fmla="*/ 1148647 h 1148647"/>
            <a:gd name="connsiteX8" fmla="*/ 0 w 918985"/>
            <a:gd name="connsiteY8" fmla="*/ 950119 h 1148647"/>
            <a:gd name="connsiteX9" fmla="*/ 211931 w 918985"/>
            <a:gd name="connsiteY9" fmla="*/ 724785 h 1148647"/>
            <a:gd name="connsiteX10" fmla="*/ 211931 w 918985"/>
            <a:gd name="connsiteY10" fmla="*/ 830750 h 1148647"/>
            <a:gd name="connsiteX11" fmla="*/ 820574 w 918985"/>
            <a:gd name="connsiteY11" fmla="*/ 528041 h 1148647"/>
            <a:gd name="connsiteX0" fmla="*/ 0 w 918985"/>
            <a:gd name="connsiteY0" fmla="*/ 816769 h 1015297"/>
            <a:gd name="connsiteX1" fmla="*/ 211931 w 918985"/>
            <a:gd name="connsiteY1" fmla="*/ 591435 h 1015297"/>
            <a:gd name="connsiteX2" fmla="*/ 211931 w 918985"/>
            <a:gd name="connsiteY2" fmla="*/ 697400 h 1015297"/>
            <a:gd name="connsiteX3" fmla="*/ 820574 w 918985"/>
            <a:gd name="connsiteY3" fmla="*/ 394691 h 1015297"/>
            <a:gd name="connsiteX4" fmla="*/ 211931 w 918985"/>
            <a:gd name="connsiteY4" fmla="*/ 909331 h 1015297"/>
            <a:gd name="connsiteX5" fmla="*/ 211931 w 918985"/>
            <a:gd name="connsiteY5" fmla="*/ 1015297 h 1015297"/>
            <a:gd name="connsiteX6" fmla="*/ 0 w 918985"/>
            <a:gd name="connsiteY6" fmla="*/ 816769 h 1015297"/>
            <a:gd name="connsiteX0" fmla="*/ 847725 w 918985"/>
            <a:gd name="connsiteY0" fmla="*/ 500658 h 1015297"/>
            <a:gd name="connsiteX1" fmla="*/ 0 w 918985"/>
            <a:gd name="connsiteY1" fmla="*/ 78581 h 1015297"/>
            <a:gd name="connsiteX2" fmla="*/ 847725 w 918985"/>
            <a:gd name="connsiteY2" fmla="*/ 288727 h 1015297"/>
            <a:gd name="connsiteX3" fmla="*/ 847725 w 918985"/>
            <a:gd name="connsiteY3" fmla="*/ 500658 h 1015297"/>
            <a:gd name="connsiteX0" fmla="*/ 847725 w 918985"/>
            <a:gd name="connsiteY0" fmla="*/ 500658 h 1015297"/>
            <a:gd name="connsiteX1" fmla="*/ 657225 w 918985"/>
            <a:gd name="connsiteY1" fmla="*/ 209551 h 1015297"/>
            <a:gd name="connsiteX2" fmla="*/ 676275 w 918985"/>
            <a:gd name="connsiteY2" fmla="*/ 173831 h 1015297"/>
            <a:gd name="connsiteX3" fmla="*/ 638175 w 918985"/>
            <a:gd name="connsiteY3" fmla="*/ 0 h 1015297"/>
            <a:gd name="connsiteX4" fmla="*/ 847725 w 918985"/>
            <a:gd name="connsiteY4" fmla="*/ 288727 h 1015297"/>
            <a:gd name="connsiteX5" fmla="*/ 847725 w 918985"/>
            <a:gd name="connsiteY5" fmla="*/ 500658 h 1015297"/>
            <a:gd name="connsiteX6" fmla="*/ 211931 w 918985"/>
            <a:gd name="connsiteY6" fmla="*/ 909332 h 1015297"/>
            <a:gd name="connsiteX7" fmla="*/ 211931 w 918985"/>
            <a:gd name="connsiteY7" fmla="*/ 1015297 h 1015297"/>
            <a:gd name="connsiteX8" fmla="*/ 0 w 918985"/>
            <a:gd name="connsiteY8" fmla="*/ 816769 h 1015297"/>
            <a:gd name="connsiteX9" fmla="*/ 211931 w 918985"/>
            <a:gd name="connsiteY9" fmla="*/ 591435 h 1015297"/>
            <a:gd name="connsiteX10" fmla="*/ 211931 w 918985"/>
            <a:gd name="connsiteY10" fmla="*/ 697400 h 1015297"/>
            <a:gd name="connsiteX11" fmla="*/ 820574 w 918985"/>
            <a:gd name="connsiteY11" fmla="*/ 394691 h 1015297"/>
            <a:gd name="connsiteX0" fmla="*/ 0 w 918985"/>
            <a:gd name="connsiteY0" fmla="*/ 816769 h 1015297"/>
            <a:gd name="connsiteX1" fmla="*/ 211931 w 918985"/>
            <a:gd name="connsiteY1" fmla="*/ 591435 h 1015297"/>
            <a:gd name="connsiteX2" fmla="*/ 211931 w 918985"/>
            <a:gd name="connsiteY2" fmla="*/ 697400 h 1015297"/>
            <a:gd name="connsiteX3" fmla="*/ 820574 w 918985"/>
            <a:gd name="connsiteY3" fmla="*/ 394691 h 1015297"/>
            <a:gd name="connsiteX4" fmla="*/ 211931 w 918985"/>
            <a:gd name="connsiteY4" fmla="*/ 909331 h 1015297"/>
            <a:gd name="connsiteX5" fmla="*/ 211931 w 918985"/>
            <a:gd name="connsiteY5" fmla="*/ 1015297 h 1015297"/>
            <a:gd name="connsiteX6" fmla="*/ 0 w 918985"/>
            <a:gd name="connsiteY6" fmla="*/ 816769 h 1015297"/>
            <a:gd name="connsiteX0" fmla="*/ 847725 w 918985"/>
            <a:gd name="connsiteY0" fmla="*/ 500658 h 1015297"/>
            <a:gd name="connsiteX1" fmla="*/ 847725 w 918985"/>
            <a:gd name="connsiteY1" fmla="*/ 288727 h 1015297"/>
            <a:gd name="connsiteX2" fmla="*/ 847725 w 918985"/>
            <a:gd name="connsiteY2" fmla="*/ 500658 h 1015297"/>
            <a:gd name="connsiteX0" fmla="*/ 847725 w 918985"/>
            <a:gd name="connsiteY0" fmla="*/ 500658 h 1015297"/>
            <a:gd name="connsiteX1" fmla="*/ 657225 w 918985"/>
            <a:gd name="connsiteY1" fmla="*/ 209551 h 1015297"/>
            <a:gd name="connsiteX2" fmla="*/ 676275 w 918985"/>
            <a:gd name="connsiteY2" fmla="*/ 173831 h 1015297"/>
            <a:gd name="connsiteX3" fmla="*/ 638175 w 918985"/>
            <a:gd name="connsiteY3" fmla="*/ 0 h 1015297"/>
            <a:gd name="connsiteX4" fmla="*/ 847725 w 918985"/>
            <a:gd name="connsiteY4" fmla="*/ 288727 h 1015297"/>
            <a:gd name="connsiteX5" fmla="*/ 847725 w 918985"/>
            <a:gd name="connsiteY5" fmla="*/ 500658 h 1015297"/>
            <a:gd name="connsiteX6" fmla="*/ 211931 w 918985"/>
            <a:gd name="connsiteY6" fmla="*/ 909332 h 1015297"/>
            <a:gd name="connsiteX7" fmla="*/ 211931 w 918985"/>
            <a:gd name="connsiteY7" fmla="*/ 1015297 h 1015297"/>
            <a:gd name="connsiteX8" fmla="*/ 0 w 918985"/>
            <a:gd name="connsiteY8" fmla="*/ 816769 h 1015297"/>
            <a:gd name="connsiteX9" fmla="*/ 211931 w 918985"/>
            <a:gd name="connsiteY9" fmla="*/ 591435 h 1015297"/>
            <a:gd name="connsiteX10" fmla="*/ 211931 w 918985"/>
            <a:gd name="connsiteY10" fmla="*/ 697400 h 1015297"/>
            <a:gd name="connsiteX11" fmla="*/ 820574 w 918985"/>
            <a:gd name="connsiteY11" fmla="*/ 394691 h 1015297"/>
            <a:gd name="connsiteX0" fmla="*/ 0 w 918985"/>
            <a:gd name="connsiteY0" fmla="*/ 817643 h 1016171"/>
            <a:gd name="connsiteX1" fmla="*/ 211931 w 918985"/>
            <a:gd name="connsiteY1" fmla="*/ 592309 h 1016171"/>
            <a:gd name="connsiteX2" fmla="*/ 211931 w 918985"/>
            <a:gd name="connsiteY2" fmla="*/ 698274 h 1016171"/>
            <a:gd name="connsiteX3" fmla="*/ 820574 w 918985"/>
            <a:gd name="connsiteY3" fmla="*/ 395565 h 1016171"/>
            <a:gd name="connsiteX4" fmla="*/ 211931 w 918985"/>
            <a:gd name="connsiteY4" fmla="*/ 910205 h 1016171"/>
            <a:gd name="connsiteX5" fmla="*/ 211931 w 918985"/>
            <a:gd name="connsiteY5" fmla="*/ 1016171 h 1016171"/>
            <a:gd name="connsiteX6" fmla="*/ 0 w 918985"/>
            <a:gd name="connsiteY6" fmla="*/ 817643 h 1016171"/>
            <a:gd name="connsiteX0" fmla="*/ 847725 w 918985"/>
            <a:gd name="connsiteY0" fmla="*/ 501532 h 1016171"/>
            <a:gd name="connsiteX1" fmla="*/ 847725 w 918985"/>
            <a:gd name="connsiteY1" fmla="*/ 289601 h 1016171"/>
            <a:gd name="connsiteX2" fmla="*/ 847725 w 918985"/>
            <a:gd name="connsiteY2" fmla="*/ 501532 h 1016171"/>
            <a:gd name="connsiteX0" fmla="*/ 847725 w 918985"/>
            <a:gd name="connsiteY0" fmla="*/ 501532 h 1016171"/>
            <a:gd name="connsiteX1" fmla="*/ 657225 w 918985"/>
            <a:gd name="connsiteY1" fmla="*/ 210425 h 1016171"/>
            <a:gd name="connsiteX2" fmla="*/ 638175 w 918985"/>
            <a:gd name="connsiteY2" fmla="*/ 874 h 1016171"/>
            <a:gd name="connsiteX3" fmla="*/ 847725 w 918985"/>
            <a:gd name="connsiteY3" fmla="*/ 289601 h 1016171"/>
            <a:gd name="connsiteX4" fmla="*/ 847725 w 918985"/>
            <a:gd name="connsiteY4" fmla="*/ 501532 h 1016171"/>
            <a:gd name="connsiteX5" fmla="*/ 211931 w 918985"/>
            <a:gd name="connsiteY5" fmla="*/ 910206 h 1016171"/>
            <a:gd name="connsiteX6" fmla="*/ 211931 w 918985"/>
            <a:gd name="connsiteY6" fmla="*/ 1016171 h 1016171"/>
            <a:gd name="connsiteX7" fmla="*/ 0 w 918985"/>
            <a:gd name="connsiteY7" fmla="*/ 817643 h 1016171"/>
            <a:gd name="connsiteX8" fmla="*/ 211931 w 918985"/>
            <a:gd name="connsiteY8" fmla="*/ 592309 h 1016171"/>
            <a:gd name="connsiteX9" fmla="*/ 211931 w 918985"/>
            <a:gd name="connsiteY9" fmla="*/ 698274 h 1016171"/>
            <a:gd name="connsiteX10" fmla="*/ 820574 w 918985"/>
            <a:gd name="connsiteY10" fmla="*/ 395565 h 1016171"/>
            <a:gd name="connsiteX0" fmla="*/ 0 w 847931"/>
            <a:gd name="connsiteY0" fmla="*/ 617208 h 815736"/>
            <a:gd name="connsiteX1" fmla="*/ 211931 w 847931"/>
            <a:gd name="connsiteY1" fmla="*/ 391874 h 815736"/>
            <a:gd name="connsiteX2" fmla="*/ 211931 w 847931"/>
            <a:gd name="connsiteY2" fmla="*/ 497839 h 815736"/>
            <a:gd name="connsiteX3" fmla="*/ 820574 w 847931"/>
            <a:gd name="connsiteY3" fmla="*/ 195130 h 815736"/>
            <a:gd name="connsiteX4" fmla="*/ 211931 w 847931"/>
            <a:gd name="connsiteY4" fmla="*/ 709770 h 815736"/>
            <a:gd name="connsiteX5" fmla="*/ 211931 w 847931"/>
            <a:gd name="connsiteY5" fmla="*/ 815736 h 815736"/>
            <a:gd name="connsiteX6" fmla="*/ 0 w 847931"/>
            <a:gd name="connsiteY6" fmla="*/ 617208 h 815736"/>
            <a:gd name="connsiteX0" fmla="*/ 847725 w 847931"/>
            <a:gd name="connsiteY0" fmla="*/ 301097 h 815736"/>
            <a:gd name="connsiteX1" fmla="*/ 847725 w 847931"/>
            <a:gd name="connsiteY1" fmla="*/ 89166 h 815736"/>
            <a:gd name="connsiteX2" fmla="*/ 847725 w 847931"/>
            <a:gd name="connsiteY2" fmla="*/ 301097 h 815736"/>
            <a:gd name="connsiteX0" fmla="*/ 847725 w 847931"/>
            <a:gd name="connsiteY0" fmla="*/ 301097 h 815736"/>
            <a:gd name="connsiteX1" fmla="*/ 657225 w 847931"/>
            <a:gd name="connsiteY1" fmla="*/ 9990 h 815736"/>
            <a:gd name="connsiteX2" fmla="*/ 847725 w 847931"/>
            <a:gd name="connsiteY2" fmla="*/ 89166 h 815736"/>
            <a:gd name="connsiteX3" fmla="*/ 847725 w 847931"/>
            <a:gd name="connsiteY3" fmla="*/ 301097 h 815736"/>
            <a:gd name="connsiteX4" fmla="*/ 211931 w 847931"/>
            <a:gd name="connsiteY4" fmla="*/ 709771 h 815736"/>
            <a:gd name="connsiteX5" fmla="*/ 211931 w 847931"/>
            <a:gd name="connsiteY5" fmla="*/ 815736 h 815736"/>
            <a:gd name="connsiteX6" fmla="*/ 0 w 847931"/>
            <a:gd name="connsiteY6" fmla="*/ 617208 h 815736"/>
            <a:gd name="connsiteX7" fmla="*/ 211931 w 847931"/>
            <a:gd name="connsiteY7" fmla="*/ 391874 h 815736"/>
            <a:gd name="connsiteX8" fmla="*/ 211931 w 847931"/>
            <a:gd name="connsiteY8" fmla="*/ 497839 h 815736"/>
            <a:gd name="connsiteX9" fmla="*/ 820574 w 847931"/>
            <a:gd name="connsiteY9" fmla="*/ 195130 h 815736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3" fmla="*/ 211931 w 847931"/>
            <a:gd name="connsiteY3" fmla="*/ 620605 h 726570"/>
            <a:gd name="connsiteX4" fmla="*/ 211931 w 847931"/>
            <a:gd name="connsiteY4" fmla="*/ 726570 h 726570"/>
            <a:gd name="connsiteX5" fmla="*/ 0 w 847931"/>
            <a:gd name="connsiteY5" fmla="*/ 528042 h 726570"/>
            <a:gd name="connsiteX6" fmla="*/ 211931 w 847931"/>
            <a:gd name="connsiteY6" fmla="*/ 302708 h 726570"/>
            <a:gd name="connsiteX7" fmla="*/ 211931 w 847931"/>
            <a:gd name="connsiteY7" fmla="*/ 408673 h 726570"/>
            <a:gd name="connsiteX8" fmla="*/ 820574 w 847931"/>
            <a:gd name="connsiteY8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211931 h 726570"/>
            <a:gd name="connsiteX2" fmla="*/ 211931 w 847931"/>
            <a:gd name="connsiteY2" fmla="*/ 620605 h 726570"/>
            <a:gd name="connsiteX3" fmla="*/ 211931 w 847931"/>
            <a:gd name="connsiteY3" fmla="*/ 726570 h 726570"/>
            <a:gd name="connsiteX4" fmla="*/ 0 w 847931"/>
            <a:gd name="connsiteY4" fmla="*/ 528042 h 726570"/>
            <a:gd name="connsiteX5" fmla="*/ 211931 w 847931"/>
            <a:gd name="connsiteY5" fmla="*/ 302708 h 726570"/>
            <a:gd name="connsiteX6" fmla="*/ 211931 w 847931"/>
            <a:gd name="connsiteY6" fmla="*/ 408673 h 726570"/>
            <a:gd name="connsiteX7" fmla="*/ 820574 w 847931"/>
            <a:gd name="connsiteY7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211931 w 847931"/>
            <a:gd name="connsiteY2" fmla="*/ 620605 h 726570"/>
            <a:gd name="connsiteX3" fmla="*/ 211931 w 847931"/>
            <a:gd name="connsiteY3" fmla="*/ 726570 h 726570"/>
            <a:gd name="connsiteX4" fmla="*/ 0 w 847931"/>
            <a:gd name="connsiteY4" fmla="*/ 528042 h 726570"/>
            <a:gd name="connsiteX5" fmla="*/ 211931 w 847931"/>
            <a:gd name="connsiteY5" fmla="*/ 302708 h 726570"/>
            <a:gd name="connsiteX6" fmla="*/ 211931 w 847931"/>
            <a:gd name="connsiteY6" fmla="*/ 408673 h 726570"/>
            <a:gd name="connsiteX7" fmla="*/ 820574 w 847931"/>
            <a:gd name="connsiteY7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766763 w 847931"/>
            <a:gd name="connsiteY2" fmla="*/ 397073 h 726570"/>
            <a:gd name="connsiteX3" fmla="*/ 211931 w 847931"/>
            <a:gd name="connsiteY3" fmla="*/ 620605 h 726570"/>
            <a:gd name="connsiteX4" fmla="*/ 211931 w 847931"/>
            <a:gd name="connsiteY4" fmla="*/ 726570 h 726570"/>
            <a:gd name="connsiteX5" fmla="*/ 0 w 847931"/>
            <a:gd name="connsiteY5" fmla="*/ 528042 h 726570"/>
            <a:gd name="connsiteX6" fmla="*/ 211931 w 847931"/>
            <a:gd name="connsiteY6" fmla="*/ 302708 h 726570"/>
            <a:gd name="connsiteX7" fmla="*/ 211931 w 847931"/>
            <a:gd name="connsiteY7" fmla="*/ 408673 h 726570"/>
            <a:gd name="connsiteX8" fmla="*/ 820574 w 847931"/>
            <a:gd name="connsiteY8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20574 w 847931"/>
            <a:gd name="connsiteY9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20574 w 847931"/>
            <a:gd name="connsiteY9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39624 w 847931"/>
            <a:gd name="connsiteY9" fmla="*/ 101201 h 726570"/>
            <a:gd name="connsiteX0" fmla="*/ 0 w 953924"/>
            <a:gd name="connsiteY0" fmla="*/ 528042 h 726570"/>
            <a:gd name="connsiteX1" fmla="*/ 211931 w 953924"/>
            <a:gd name="connsiteY1" fmla="*/ 302708 h 726570"/>
            <a:gd name="connsiteX2" fmla="*/ 211931 w 953924"/>
            <a:gd name="connsiteY2" fmla="*/ 408673 h 726570"/>
            <a:gd name="connsiteX3" fmla="*/ 820574 w 953924"/>
            <a:gd name="connsiteY3" fmla="*/ 105964 h 726570"/>
            <a:gd name="connsiteX4" fmla="*/ 211931 w 953924"/>
            <a:gd name="connsiteY4" fmla="*/ 620604 h 726570"/>
            <a:gd name="connsiteX5" fmla="*/ 211931 w 953924"/>
            <a:gd name="connsiteY5" fmla="*/ 726570 h 726570"/>
            <a:gd name="connsiteX6" fmla="*/ 0 w 953924"/>
            <a:gd name="connsiteY6" fmla="*/ 528042 h 726570"/>
            <a:gd name="connsiteX0" fmla="*/ 847725 w 953924"/>
            <a:gd name="connsiteY0" fmla="*/ 211931 h 726570"/>
            <a:gd name="connsiteX1" fmla="*/ 847725 w 953924"/>
            <a:gd name="connsiteY1" fmla="*/ 0 h 726570"/>
            <a:gd name="connsiteX2" fmla="*/ 847725 w 953924"/>
            <a:gd name="connsiteY2" fmla="*/ 211931 h 726570"/>
            <a:gd name="connsiteX0" fmla="*/ 847725 w 953924"/>
            <a:gd name="connsiteY0" fmla="*/ 211931 h 726570"/>
            <a:gd name="connsiteX1" fmla="*/ 842962 w 953924"/>
            <a:gd name="connsiteY1" fmla="*/ 97631 h 726570"/>
            <a:gd name="connsiteX2" fmla="*/ 766763 w 953924"/>
            <a:gd name="connsiteY2" fmla="*/ 397073 h 726570"/>
            <a:gd name="connsiteX3" fmla="*/ 509588 w 953924"/>
            <a:gd name="connsiteY3" fmla="*/ 544711 h 726570"/>
            <a:gd name="connsiteX4" fmla="*/ 211931 w 953924"/>
            <a:gd name="connsiteY4" fmla="*/ 620605 h 726570"/>
            <a:gd name="connsiteX5" fmla="*/ 211931 w 953924"/>
            <a:gd name="connsiteY5" fmla="*/ 726570 h 726570"/>
            <a:gd name="connsiteX6" fmla="*/ 0 w 953924"/>
            <a:gd name="connsiteY6" fmla="*/ 528042 h 726570"/>
            <a:gd name="connsiteX7" fmla="*/ 211931 w 953924"/>
            <a:gd name="connsiteY7" fmla="*/ 302708 h 726570"/>
            <a:gd name="connsiteX8" fmla="*/ 211931 w 953924"/>
            <a:gd name="connsiteY8" fmla="*/ 408673 h 726570"/>
            <a:gd name="connsiteX9" fmla="*/ 953924 w 953924"/>
            <a:gd name="connsiteY9" fmla="*/ 220263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30099 w 847931"/>
            <a:gd name="connsiteY9" fmla="*/ 105963 h 7265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847931" h="726570" stroke="0" extrusionOk="0">
              <a:moveTo>
                <a:pt x="0" y="528042"/>
              </a:moveTo>
              <a:lnTo>
                <a:pt x="211931" y="302708"/>
              </a:lnTo>
              <a:lnTo>
                <a:pt x="211931" y="408673"/>
              </a:lnTo>
              <a:cubicBezTo>
                <a:pt x="510211" y="370327"/>
                <a:pt x="743233" y="254434"/>
                <a:pt x="820574" y="105964"/>
              </a:cubicBezTo>
              <a:cubicBezTo>
                <a:pt x="938206" y="331779"/>
                <a:pt x="665600" y="562282"/>
                <a:pt x="211931" y="620604"/>
              </a:cubicBezTo>
              <a:lnTo>
                <a:pt x="211931" y="726570"/>
              </a:lnTo>
              <a:lnTo>
                <a:pt x="0" y="528042"/>
              </a:lnTo>
              <a:close/>
            </a:path>
            <a:path w="847931" h="726570" fill="darkenLess" stroke="0" extrusionOk="0">
              <a:moveTo>
                <a:pt x="847725" y="211931"/>
              </a:moveTo>
              <a:lnTo>
                <a:pt x="847725" y="0"/>
              </a:lnTo>
              <a:lnTo>
                <a:pt x="847725" y="211931"/>
              </a:lnTo>
              <a:close/>
            </a:path>
            <a:path w="847931" h="726570" fill="none" extrusionOk="0">
              <a:moveTo>
                <a:pt x="847725" y="211931"/>
              </a:moveTo>
              <a:lnTo>
                <a:pt x="842962" y="97631"/>
              </a:lnTo>
              <a:cubicBezTo>
                <a:pt x="823912" y="124519"/>
                <a:pt x="872729" y="314673"/>
                <a:pt x="766763" y="397073"/>
              </a:cubicBezTo>
              <a:cubicBezTo>
                <a:pt x="709613" y="462061"/>
                <a:pt x="602060" y="507456"/>
                <a:pt x="509588" y="544711"/>
              </a:cubicBezTo>
              <a:cubicBezTo>
                <a:pt x="417116" y="581966"/>
                <a:pt x="260747" y="585533"/>
                <a:pt x="211931" y="620605"/>
              </a:cubicBezTo>
              <a:lnTo>
                <a:pt x="211931" y="726570"/>
              </a:lnTo>
              <a:lnTo>
                <a:pt x="0" y="528042"/>
              </a:lnTo>
              <a:lnTo>
                <a:pt x="211931" y="302708"/>
              </a:lnTo>
              <a:lnTo>
                <a:pt x="211931" y="408673"/>
              </a:lnTo>
              <a:cubicBezTo>
                <a:pt x="510211" y="370327"/>
                <a:pt x="752758" y="254433"/>
                <a:pt x="830099" y="105963"/>
              </a:cubicBezTo>
            </a:path>
          </a:pathLst>
        </a:cu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oneCellAnchor>
    <xdr:from>
      <xdr:col>9</xdr:col>
      <xdr:colOff>244186</xdr:colOff>
      <xdr:row>19</xdr:row>
      <xdr:rowOff>165101</xdr:rowOff>
    </xdr:from>
    <xdr:ext cx="2526076" cy="81915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9343736" y="3733801"/>
          <a:ext cx="2526076" cy="819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400" b="1" i="1">
              <a:solidFill>
                <a:srgbClr val="C00000"/>
              </a:solidFill>
              <a:latin typeface="+mn-lt"/>
            </a:rPr>
            <a:t>Use EasyFit</a:t>
          </a:r>
          <a:r>
            <a:rPr lang="en-US" sz="1400" b="1" i="1" baseline="0">
              <a:solidFill>
                <a:srgbClr val="C00000"/>
              </a:solidFill>
              <a:latin typeface="+mn-lt"/>
            </a:rPr>
            <a:t> to fit your right tail</a:t>
          </a:r>
        </a:p>
        <a:p>
          <a:r>
            <a:rPr lang="en-US" sz="1400" b="1" i="1" baseline="0">
              <a:solidFill>
                <a:srgbClr val="C00000"/>
              </a:solidFill>
              <a:latin typeface="+mn-lt"/>
            </a:rPr>
            <a:t>loss data to get the parameters</a:t>
          </a:r>
        </a:p>
        <a:p>
          <a:r>
            <a:rPr lang="en-US" sz="1400" b="1" i="1" baseline="0">
              <a:solidFill>
                <a:srgbClr val="C00000"/>
              </a:solidFill>
              <a:latin typeface="+mn-lt"/>
            </a:rPr>
            <a:t>of GPD.</a:t>
          </a:r>
        </a:p>
        <a:p>
          <a:endParaRPr lang="en-US" sz="1400" b="1" i="1">
            <a:solidFill>
              <a:srgbClr val="C00000"/>
            </a:solidFill>
            <a:latin typeface="+mn-lt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350520</xdr:colOff>
      <xdr:row>3</xdr:row>
      <xdr:rowOff>133726</xdr:rowOff>
    </xdr:from>
    <xdr:to>
      <xdr:col>10</xdr:col>
      <xdr:colOff>599956</xdr:colOff>
      <xdr:row>7</xdr:row>
      <xdr:rowOff>113406</xdr:rowOff>
    </xdr:to>
    <xdr:sp macro="" textlink="">
      <xdr:nvSpPr>
        <xdr:cNvPr id="2" name="Curved Left Arrow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18144963" flipV="1">
          <a:off x="5754628" y="1861938"/>
          <a:ext cx="718820" cy="249436"/>
        </a:xfrm>
        <a:custGeom>
          <a:avLst/>
          <a:gdLst>
            <a:gd name="connsiteX0" fmla="*/ 0 w 847725"/>
            <a:gd name="connsiteY0" fmla="*/ 950119 h 1162050"/>
            <a:gd name="connsiteX1" fmla="*/ 211931 w 847725"/>
            <a:gd name="connsiteY1" fmla="*/ 724785 h 1162050"/>
            <a:gd name="connsiteX2" fmla="*/ 211931 w 847725"/>
            <a:gd name="connsiteY2" fmla="*/ 830750 h 1162050"/>
            <a:gd name="connsiteX3" fmla="*/ 820574 w 847725"/>
            <a:gd name="connsiteY3" fmla="*/ 528041 h 1162050"/>
            <a:gd name="connsiteX4" fmla="*/ 211931 w 847725"/>
            <a:gd name="connsiteY4" fmla="*/ 1042681 h 1162050"/>
            <a:gd name="connsiteX5" fmla="*/ 211931 w 847725"/>
            <a:gd name="connsiteY5" fmla="*/ 1148647 h 1162050"/>
            <a:gd name="connsiteX6" fmla="*/ 0 w 847725"/>
            <a:gd name="connsiteY6" fmla="*/ 950119 h 1162050"/>
            <a:gd name="connsiteX0" fmla="*/ 847725 w 847725"/>
            <a:gd name="connsiteY0" fmla="*/ 634008 h 1162050"/>
            <a:gd name="connsiteX1" fmla="*/ 0 w 847725"/>
            <a:gd name="connsiteY1" fmla="*/ 211931 h 1162050"/>
            <a:gd name="connsiteX2" fmla="*/ 0 w 847725"/>
            <a:gd name="connsiteY2" fmla="*/ 0 h 1162050"/>
            <a:gd name="connsiteX3" fmla="*/ 847725 w 847725"/>
            <a:gd name="connsiteY3" fmla="*/ 422077 h 1162050"/>
            <a:gd name="connsiteX4" fmla="*/ 847725 w 847725"/>
            <a:gd name="connsiteY4" fmla="*/ 634008 h 1162050"/>
            <a:gd name="connsiteX0" fmla="*/ 847725 w 847725"/>
            <a:gd name="connsiteY0" fmla="*/ 634008 h 1162050"/>
            <a:gd name="connsiteX1" fmla="*/ 0 w 847725"/>
            <a:gd name="connsiteY1" fmla="*/ 211931 h 1162050"/>
            <a:gd name="connsiteX2" fmla="*/ 0 w 847725"/>
            <a:gd name="connsiteY2" fmla="*/ 0 h 1162050"/>
            <a:gd name="connsiteX3" fmla="*/ 847725 w 847725"/>
            <a:gd name="connsiteY3" fmla="*/ 422077 h 1162050"/>
            <a:gd name="connsiteX4" fmla="*/ 847725 w 847725"/>
            <a:gd name="connsiteY4" fmla="*/ 634008 h 1162050"/>
            <a:gd name="connsiteX5" fmla="*/ 211931 w 847725"/>
            <a:gd name="connsiteY5" fmla="*/ 1042682 h 1162050"/>
            <a:gd name="connsiteX6" fmla="*/ 211931 w 847725"/>
            <a:gd name="connsiteY6" fmla="*/ 1148647 h 1162050"/>
            <a:gd name="connsiteX7" fmla="*/ 0 w 847725"/>
            <a:gd name="connsiteY7" fmla="*/ 950119 h 1162050"/>
            <a:gd name="connsiteX8" fmla="*/ 211931 w 847725"/>
            <a:gd name="connsiteY8" fmla="*/ 724785 h 1162050"/>
            <a:gd name="connsiteX9" fmla="*/ 211931 w 847725"/>
            <a:gd name="connsiteY9" fmla="*/ 830750 h 1162050"/>
            <a:gd name="connsiteX10" fmla="*/ 820574 w 847725"/>
            <a:gd name="connsiteY10" fmla="*/ 528041 h 1162050"/>
            <a:gd name="connsiteX0" fmla="*/ 0 w 918985"/>
            <a:gd name="connsiteY0" fmla="*/ 950119 h 1148647"/>
            <a:gd name="connsiteX1" fmla="*/ 211931 w 918985"/>
            <a:gd name="connsiteY1" fmla="*/ 724785 h 1148647"/>
            <a:gd name="connsiteX2" fmla="*/ 211931 w 918985"/>
            <a:gd name="connsiteY2" fmla="*/ 830750 h 1148647"/>
            <a:gd name="connsiteX3" fmla="*/ 820574 w 918985"/>
            <a:gd name="connsiteY3" fmla="*/ 528041 h 1148647"/>
            <a:gd name="connsiteX4" fmla="*/ 211931 w 918985"/>
            <a:gd name="connsiteY4" fmla="*/ 1042681 h 1148647"/>
            <a:gd name="connsiteX5" fmla="*/ 211931 w 918985"/>
            <a:gd name="connsiteY5" fmla="*/ 1148647 h 1148647"/>
            <a:gd name="connsiteX6" fmla="*/ 0 w 918985"/>
            <a:gd name="connsiteY6" fmla="*/ 950119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0 w 918985"/>
            <a:gd name="connsiteY2" fmla="*/ 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638175 w 918985"/>
            <a:gd name="connsiteY2" fmla="*/ 13335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5" fmla="*/ 211931 w 918985"/>
            <a:gd name="connsiteY5" fmla="*/ 1042682 h 1148647"/>
            <a:gd name="connsiteX6" fmla="*/ 211931 w 918985"/>
            <a:gd name="connsiteY6" fmla="*/ 1148647 h 1148647"/>
            <a:gd name="connsiteX7" fmla="*/ 0 w 918985"/>
            <a:gd name="connsiteY7" fmla="*/ 950119 h 1148647"/>
            <a:gd name="connsiteX8" fmla="*/ 211931 w 918985"/>
            <a:gd name="connsiteY8" fmla="*/ 724785 h 1148647"/>
            <a:gd name="connsiteX9" fmla="*/ 211931 w 918985"/>
            <a:gd name="connsiteY9" fmla="*/ 830750 h 1148647"/>
            <a:gd name="connsiteX10" fmla="*/ 820574 w 918985"/>
            <a:gd name="connsiteY10" fmla="*/ 528041 h 1148647"/>
            <a:gd name="connsiteX0" fmla="*/ 11229 w 930214"/>
            <a:gd name="connsiteY0" fmla="*/ 950119 h 1148647"/>
            <a:gd name="connsiteX1" fmla="*/ 223160 w 930214"/>
            <a:gd name="connsiteY1" fmla="*/ 724785 h 1148647"/>
            <a:gd name="connsiteX2" fmla="*/ 223160 w 930214"/>
            <a:gd name="connsiteY2" fmla="*/ 830750 h 1148647"/>
            <a:gd name="connsiteX3" fmla="*/ 831803 w 930214"/>
            <a:gd name="connsiteY3" fmla="*/ 528041 h 1148647"/>
            <a:gd name="connsiteX4" fmla="*/ 223160 w 930214"/>
            <a:gd name="connsiteY4" fmla="*/ 1042681 h 1148647"/>
            <a:gd name="connsiteX5" fmla="*/ 223160 w 930214"/>
            <a:gd name="connsiteY5" fmla="*/ 1148647 h 1148647"/>
            <a:gd name="connsiteX6" fmla="*/ 11229 w 930214"/>
            <a:gd name="connsiteY6" fmla="*/ 950119 h 1148647"/>
            <a:gd name="connsiteX0" fmla="*/ 858954 w 930214"/>
            <a:gd name="connsiteY0" fmla="*/ 634008 h 1148647"/>
            <a:gd name="connsiteX1" fmla="*/ 11229 w 930214"/>
            <a:gd name="connsiteY1" fmla="*/ 211931 h 1148647"/>
            <a:gd name="connsiteX2" fmla="*/ 11229 w 930214"/>
            <a:gd name="connsiteY2" fmla="*/ 0 h 1148647"/>
            <a:gd name="connsiteX3" fmla="*/ 858954 w 930214"/>
            <a:gd name="connsiteY3" fmla="*/ 422077 h 1148647"/>
            <a:gd name="connsiteX4" fmla="*/ 858954 w 930214"/>
            <a:gd name="connsiteY4" fmla="*/ 634008 h 1148647"/>
            <a:gd name="connsiteX0" fmla="*/ 858954 w 930214"/>
            <a:gd name="connsiteY0" fmla="*/ 634008 h 1148647"/>
            <a:gd name="connsiteX1" fmla="*/ 668454 w 930214"/>
            <a:gd name="connsiteY1" fmla="*/ 342901 h 1148647"/>
            <a:gd name="connsiteX2" fmla="*/ 11229 w 930214"/>
            <a:gd name="connsiteY2" fmla="*/ 211931 h 1148647"/>
            <a:gd name="connsiteX3" fmla="*/ 649404 w 930214"/>
            <a:gd name="connsiteY3" fmla="*/ 133350 h 1148647"/>
            <a:gd name="connsiteX4" fmla="*/ 858954 w 930214"/>
            <a:gd name="connsiteY4" fmla="*/ 422077 h 1148647"/>
            <a:gd name="connsiteX5" fmla="*/ 858954 w 930214"/>
            <a:gd name="connsiteY5" fmla="*/ 634008 h 1148647"/>
            <a:gd name="connsiteX6" fmla="*/ 223160 w 930214"/>
            <a:gd name="connsiteY6" fmla="*/ 1042682 h 1148647"/>
            <a:gd name="connsiteX7" fmla="*/ 223160 w 930214"/>
            <a:gd name="connsiteY7" fmla="*/ 1148647 h 1148647"/>
            <a:gd name="connsiteX8" fmla="*/ 11229 w 930214"/>
            <a:gd name="connsiteY8" fmla="*/ 950119 h 1148647"/>
            <a:gd name="connsiteX9" fmla="*/ 223160 w 930214"/>
            <a:gd name="connsiteY9" fmla="*/ 724785 h 1148647"/>
            <a:gd name="connsiteX10" fmla="*/ 223160 w 930214"/>
            <a:gd name="connsiteY10" fmla="*/ 830750 h 1148647"/>
            <a:gd name="connsiteX11" fmla="*/ 831803 w 930214"/>
            <a:gd name="connsiteY11" fmla="*/ 528041 h 1148647"/>
            <a:gd name="connsiteX0" fmla="*/ 0 w 918985"/>
            <a:gd name="connsiteY0" fmla="*/ 950119 h 1148647"/>
            <a:gd name="connsiteX1" fmla="*/ 211931 w 918985"/>
            <a:gd name="connsiteY1" fmla="*/ 724785 h 1148647"/>
            <a:gd name="connsiteX2" fmla="*/ 211931 w 918985"/>
            <a:gd name="connsiteY2" fmla="*/ 830750 h 1148647"/>
            <a:gd name="connsiteX3" fmla="*/ 820574 w 918985"/>
            <a:gd name="connsiteY3" fmla="*/ 528041 h 1148647"/>
            <a:gd name="connsiteX4" fmla="*/ 211931 w 918985"/>
            <a:gd name="connsiteY4" fmla="*/ 1042681 h 1148647"/>
            <a:gd name="connsiteX5" fmla="*/ 211931 w 918985"/>
            <a:gd name="connsiteY5" fmla="*/ 1148647 h 1148647"/>
            <a:gd name="connsiteX6" fmla="*/ 0 w 918985"/>
            <a:gd name="connsiteY6" fmla="*/ 950119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0 w 918985"/>
            <a:gd name="connsiteY2" fmla="*/ 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0" fmla="*/ 847725 w 918985"/>
            <a:gd name="connsiteY0" fmla="*/ 634008 h 1148647"/>
            <a:gd name="connsiteX1" fmla="*/ 657225 w 918985"/>
            <a:gd name="connsiteY1" fmla="*/ 342901 h 1148647"/>
            <a:gd name="connsiteX2" fmla="*/ 676275 w 918985"/>
            <a:gd name="connsiteY2" fmla="*/ 307181 h 1148647"/>
            <a:gd name="connsiteX3" fmla="*/ 638175 w 918985"/>
            <a:gd name="connsiteY3" fmla="*/ 133350 h 1148647"/>
            <a:gd name="connsiteX4" fmla="*/ 847725 w 918985"/>
            <a:gd name="connsiteY4" fmla="*/ 422077 h 1148647"/>
            <a:gd name="connsiteX5" fmla="*/ 847725 w 918985"/>
            <a:gd name="connsiteY5" fmla="*/ 634008 h 1148647"/>
            <a:gd name="connsiteX6" fmla="*/ 211931 w 918985"/>
            <a:gd name="connsiteY6" fmla="*/ 1042682 h 1148647"/>
            <a:gd name="connsiteX7" fmla="*/ 211931 w 918985"/>
            <a:gd name="connsiteY7" fmla="*/ 1148647 h 1148647"/>
            <a:gd name="connsiteX8" fmla="*/ 0 w 918985"/>
            <a:gd name="connsiteY8" fmla="*/ 950119 h 1148647"/>
            <a:gd name="connsiteX9" fmla="*/ 211931 w 918985"/>
            <a:gd name="connsiteY9" fmla="*/ 724785 h 1148647"/>
            <a:gd name="connsiteX10" fmla="*/ 211931 w 918985"/>
            <a:gd name="connsiteY10" fmla="*/ 830750 h 1148647"/>
            <a:gd name="connsiteX11" fmla="*/ 820574 w 918985"/>
            <a:gd name="connsiteY11" fmla="*/ 528041 h 1148647"/>
            <a:gd name="connsiteX0" fmla="*/ 0 w 918985"/>
            <a:gd name="connsiteY0" fmla="*/ 816769 h 1015297"/>
            <a:gd name="connsiteX1" fmla="*/ 211931 w 918985"/>
            <a:gd name="connsiteY1" fmla="*/ 591435 h 1015297"/>
            <a:gd name="connsiteX2" fmla="*/ 211931 w 918985"/>
            <a:gd name="connsiteY2" fmla="*/ 697400 h 1015297"/>
            <a:gd name="connsiteX3" fmla="*/ 820574 w 918985"/>
            <a:gd name="connsiteY3" fmla="*/ 394691 h 1015297"/>
            <a:gd name="connsiteX4" fmla="*/ 211931 w 918985"/>
            <a:gd name="connsiteY4" fmla="*/ 909331 h 1015297"/>
            <a:gd name="connsiteX5" fmla="*/ 211931 w 918985"/>
            <a:gd name="connsiteY5" fmla="*/ 1015297 h 1015297"/>
            <a:gd name="connsiteX6" fmla="*/ 0 w 918985"/>
            <a:gd name="connsiteY6" fmla="*/ 816769 h 1015297"/>
            <a:gd name="connsiteX0" fmla="*/ 847725 w 918985"/>
            <a:gd name="connsiteY0" fmla="*/ 500658 h 1015297"/>
            <a:gd name="connsiteX1" fmla="*/ 0 w 918985"/>
            <a:gd name="connsiteY1" fmla="*/ 78581 h 1015297"/>
            <a:gd name="connsiteX2" fmla="*/ 847725 w 918985"/>
            <a:gd name="connsiteY2" fmla="*/ 288727 h 1015297"/>
            <a:gd name="connsiteX3" fmla="*/ 847725 w 918985"/>
            <a:gd name="connsiteY3" fmla="*/ 500658 h 1015297"/>
            <a:gd name="connsiteX0" fmla="*/ 847725 w 918985"/>
            <a:gd name="connsiteY0" fmla="*/ 500658 h 1015297"/>
            <a:gd name="connsiteX1" fmla="*/ 657225 w 918985"/>
            <a:gd name="connsiteY1" fmla="*/ 209551 h 1015297"/>
            <a:gd name="connsiteX2" fmla="*/ 676275 w 918985"/>
            <a:gd name="connsiteY2" fmla="*/ 173831 h 1015297"/>
            <a:gd name="connsiteX3" fmla="*/ 638175 w 918985"/>
            <a:gd name="connsiteY3" fmla="*/ 0 h 1015297"/>
            <a:gd name="connsiteX4" fmla="*/ 847725 w 918985"/>
            <a:gd name="connsiteY4" fmla="*/ 288727 h 1015297"/>
            <a:gd name="connsiteX5" fmla="*/ 847725 w 918985"/>
            <a:gd name="connsiteY5" fmla="*/ 500658 h 1015297"/>
            <a:gd name="connsiteX6" fmla="*/ 211931 w 918985"/>
            <a:gd name="connsiteY6" fmla="*/ 909332 h 1015297"/>
            <a:gd name="connsiteX7" fmla="*/ 211931 w 918985"/>
            <a:gd name="connsiteY7" fmla="*/ 1015297 h 1015297"/>
            <a:gd name="connsiteX8" fmla="*/ 0 w 918985"/>
            <a:gd name="connsiteY8" fmla="*/ 816769 h 1015297"/>
            <a:gd name="connsiteX9" fmla="*/ 211931 w 918985"/>
            <a:gd name="connsiteY9" fmla="*/ 591435 h 1015297"/>
            <a:gd name="connsiteX10" fmla="*/ 211931 w 918985"/>
            <a:gd name="connsiteY10" fmla="*/ 697400 h 1015297"/>
            <a:gd name="connsiteX11" fmla="*/ 820574 w 918985"/>
            <a:gd name="connsiteY11" fmla="*/ 394691 h 1015297"/>
            <a:gd name="connsiteX0" fmla="*/ 0 w 918985"/>
            <a:gd name="connsiteY0" fmla="*/ 816769 h 1015297"/>
            <a:gd name="connsiteX1" fmla="*/ 211931 w 918985"/>
            <a:gd name="connsiteY1" fmla="*/ 591435 h 1015297"/>
            <a:gd name="connsiteX2" fmla="*/ 211931 w 918985"/>
            <a:gd name="connsiteY2" fmla="*/ 697400 h 1015297"/>
            <a:gd name="connsiteX3" fmla="*/ 820574 w 918985"/>
            <a:gd name="connsiteY3" fmla="*/ 394691 h 1015297"/>
            <a:gd name="connsiteX4" fmla="*/ 211931 w 918985"/>
            <a:gd name="connsiteY4" fmla="*/ 909331 h 1015297"/>
            <a:gd name="connsiteX5" fmla="*/ 211931 w 918985"/>
            <a:gd name="connsiteY5" fmla="*/ 1015297 h 1015297"/>
            <a:gd name="connsiteX6" fmla="*/ 0 w 918985"/>
            <a:gd name="connsiteY6" fmla="*/ 816769 h 1015297"/>
            <a:gd name="connsiteX0" fmla="*/ 847725 w 918985"/>
            <a:gd name="connsiteY0" fmla="*/ 500658 h 1015297"/>
            <a:gd name="connsiteX1" fmla="*/ 847725 w 918985"/>
            <a:gd name="connsiteY1" fmla="*/ 288727 h 1015297"/>
            <a:gd name="connsiteX2" fmla="*/ 847725 w 918985"/>
            <a:gd name="connsiteY2" fmla="*/ 500658 h 1015297"/>
            <a:gd name="connsiteX0" fmla="*/ 847725 w 918985"/>
            <a:gd name="connsiteY0" fmla="*/ 500658 h 1015297"/>
            <a:gd name="connsiteX1" fmla="*/ 657225 w 918985"/>
            <a:gd name="connsiteY1" fmla="*/ 209551 h 1015297"/>
            <a:gd name="connsiteX2" fmla="*/ 676275 w 918985"/>
            <a:gd name="connsiteY2" fmla="*/ 173831 h 1015297"/>
            <a:gd name="connsiteX3" fmla="*/ 638175 w 918985"/>
            <a:gd name="connsiteY3" fmla="*/ 0 h 1015297"/>
            <a:gd name="connsiteX4" fmla="*/ 847725 w 918985"/>
            <a:gd name="connsiteY4" fmla="*/ 288727 h 1015297"/>
            <a:gd name="connsiteX5" fmla="*/ 847725 w 918985"/>
            <a:gd name="connsiteY5" fmla="*/ 500658 h 1015297"/>
            <a:gd name="connsiteX6" fmla="*/ 211931 w 918985"/>
            <a:gd name="connsiteY6" fmla="*/ 909332 h 1015297"/>
            <a:gd name="connsiteX7" fmla="*/ 211931 w 918985"/>
            <a:gd name="connsiteY7" fmla="*/ 1015297 h 1015297"/>
            <a:gd name="connsiteX8" fmla="*/ 0 w 918985"/>
            <a:gd name="connsiteY8" fmla="*/ 816769 h 1015297"/>
            <a:gd name="connsiteX9" fmla="*/ 211931 w 918985"/>
            <a:gd name="connsiteY9" fmla="*/ 591435 h 1015297"/>
            <a:gd name="connsiteX10" fmla="*/ 211931 w 918985"/>
            <a:gd name="connsiteY10" fmla="*/ 697400 h 1015297"/>
            <a:gd name="connsiteX11" fmla="*/ 820574 w 918985"/>
            <a:gd name="connsiteY11" fmla="*/ 394691 h 1015297"/>
            <a:gd name="connsiteX0" fmla="*/ 0 w 918985"/>
            <a:gd name="connsiteY0" fmla="*/ 817643 h 1016171"/>
            <a:gd name="connsiteX1" fmla="*/ 211931 w 918985"/>
            <a:gd name="connsiteY1" fmla="*/ 592309 h 1016171"/>
            <a:gd name="connsiteX2" fmla="*/ 211931 w 918985"/>
            <a:gd name="connsiteY2" fmla="*/ 698274 h 1016171"/>
            <a:gd name="connsiteX3" fmla="*/ 820574 w 918985"/>
            <a:gd name="connsiteY3" fmla="*/ 395565 h 1016171"/>
            <a:gd name="connsiteX4" fmla="*/ 211931 w 918985"/>
            <a:gd name="connsiteY4" fmla="*/ 910205 h 1016171"/>
            <a:gd name="connsiteX5" fmla="*/ 211931 w 918985"/>
            <a:gd name="connsiteY5" fmla="*/ 1016171 h 1016171"/>
            <a:gd name="connsiteX6" fmla="*/ 0 w 918985"/>
            <a:gd name="connsiteY6" fmla="*/ 817643 h 1016171"/>
            <a:gd name="connsiteX0" fmla="*/ 847725 w 918985"/>
            <a:gd name="connsiteY0" fmla="*/ 501532 h 1016171"/>
            <a:gd name="connsiteX1" fmla="*/ 847725 w 918985"/>
            <a:gd name="connsiteY1" fmla="*/ 289601 h 1016171"/>
            <a:gd name="connsiteX2" fmla="*/ 847725 w 918985"/>
            <a:gd name="connsiteY2" fmla="*/ 501532 h 1016171"/>
            <a:gd name="connsiteX0" fmla="*/ 847725 w 918985"/>
            <a:gd name="connsiteY0" fmla="*/ 501532 h 1016171"/>
            <a:gd name="connsiteX1" fmla="*/ 657225 w 918985"/>
            <a:gd name="connsiteY1" fmla="*/ 210425 h 1016171"/>
            <a:gd name="connsiteX2" fmla="*/ 638175 w 918985"/>
            <a:gd name="connsiteY2" fmla="*/ 874 h 1016171"/>
            <a:gd name="connsiteX3" fmla="*/ 847725 w 918985"/>
            <a:gd name="connsiteY3" fmla="*/ 289601 h 1016171"/>
            <a:gd name="connsiteX4" fmla="*/ 847725 w 918985"/>
            <a:gd name="connsiteY4" fmla="*/ 501532 h 1016171"/>
            <a:gd name="connsiteX5" fmla="*/ 211931 w 918985"/>
            <a:gd name="connsiteY5" fmla="*/ 910206 h 1016171"/>
            <a:gd name="connsiteX6" fmla="*/ 211931 w 918985"/>
            <a:gd name="connsiteY6" fmla="*/ 1016171 h 1016171"/>
            <a:gd name="connsiteX7" fmla="*/ 0 w 918985"/>
            <a:gd name="connsiteY7" fmla="*/ 817643 h 1016171"/>
            <a:gd name="connsiteX8" fmla="*/ 211931 w 918985"/>
            <a:gd name="connsiteY8" fmla="*/ 592309 h 1016171"/>
            <a:gd name="connsiteX9" fmla="*/ 211931 w 918985"/>
            <a:gd name="connsiteY9" fmla="*/ 698274 h 1016171"/>
            <a:gd name="connsiteX10" fmla="*/ 820574 w 918985"/>
            <a:gd name="connsiteY10" fmla="*/ 395565 h 1016171"/>
            <a:gd name="connsiteX0" fmla="*/ 0 w 847931"/>
            <a:gd name="connsiteY0" fmla="*/ 617208 h 815736"/>
            <a:gd name="connsiteX1" fmla="*/ 211931 w 847931"/>
            <a:gd name="connsiteY1" fmla="*/ 391874 h 815736"/>
            <a:gd name="connsiteX2" fmla="*/ 211931 w 847931"/>
            <a:gd name="connsiteY2" fmla="*/ 497839 h 815736"/>
            <a:gd name="connsiteX3" fmla="*/ 820574 w 847931"/>
            <a:gd name="connsiteY3" fmla="*/ 195130 h 815736"/>
            <a:gd name="connsiteX4" fmla="*/ 211931 w 847931"/>
            <a:gd name="connsiteY4" fmla="*/ 709770 h 815736"/>
            <a:gd name="connsiteX5" fmla="*/ 211931 w 847931"/>
            <a:gd name="connsiteY5" fmla="*/ 815736 h 815736"/>
            <a:gd name="connsiteX6" fmla="*/ 0 w 847931"/>
            <a:gd name="connsiteY6" fmla="*/ 617208 h 815736"/>
            <a:gd name="connsiteX0" fmla="*/ 847725 w 847931"/>
            <a:gd name="connsiteY0" fmla="*/ 301097 h 815736"/>
            <a:gd name="connsiteX1" fmla="*/ 847725 w 847931"/>
            <a:gd name="connsiteY1" fmla="*/ 89166 h 815736"/>
            <a:gd name="connsiteX2" fmla="*/ 847725 w 847931"/>
            <a:gd name="connsiteY2" fmla="*/ 301097 h 815736"/>
            <a:gd name="connsiteX0" fmla="*/ 847725 w 847931"/>
            <a:gd name="connsiteY0" fmla="*/ 301097 h 815736"/>
            <a:gd name="connsiteX1" fmla="*/ 657225 w 847931"/>
            <a:gd name="connsiteY1" fmla="*/ 9990 h 815736"/>
            <a:gd name="connsiteX2" fmla="*/ 847725 w 847931"/>
            <a:gd name="connsiteY2" fmla="*/ 89166 h 815736"/>
            <a:gd name="connsiteX3" fmla="*/ 847725 w 847931"/>
            <a:gd name="connsiteY3" fmla="*/ 301097 h 815736"/>
            <a:gd name="connsiteX4" fmla="*/ 211931 w 847931"/>
            <a:gd name="connsiteY4" fmla="*/ 709771 h 815736"/>
            <a:gd name="connsiteX5" fmla="*/ 211931 w 847931"/>
            <a:gd name="connsiteY5" fmla="*/ 815736 h 815736"/>
            <a:gd name="connsiteX6" fmla="*/ 0 w 847931"/>
            <a:gd name="connsiteY6" fmla="*/ 617208 h 815736"/>
            <a:gd name="connsiteX7" fmla="*/ 211931 w 847931"/>
            <a:gd name="connsiteY7" fmla="*/ 391874 h 815736"/>
            <a:gd name="connsiteX8" fmla="*/ 211931 w 847931"/>
            <a:gd name="connsiteY8" fmla="*/ 497839 h 815736"/>
            <a:gd name="connsiteX9" fmla="*/ 820574 w 847931"/>
            <a:gd name="connsiteY9" fmla="*/ 195130 h 815736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3" fmla="*/ 211931 w 847931"/>
            <a:gd name="connsiteY3" fmla="*/ 620605 h 726570"/>
            <a:gd name="connsiteX4" fmla="*/ 211931 w 847931"/>
            <a:gd name="connsiteY4" fmla="*/ 726570 h 726570"/>
            <a:gd name="connsiteX5" fmla="*/ 0 w 847931"/>
            <a:gd name="connsiteY5" fmla="*/ 528042 h 726570"/>
            <a:gd name="connsiteX6" fmla="*/ 211931 w 847931"/>
            <a:gd name="connsiteY6" fmla="*/ 302708 h 726570"/>
            <a:gd name="connsiteX7" fmla="*/ 211931 w 847931"/>
            <a:gd name="connsiteY7" fmla="*/ 408673 h 726570"/>
            <a:gd name="connsiteX8" fmla="*/ 820574 w 847931"/>
            <a:gd name="connsiteY8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211931 h 726570"/>
            <a:gd name="connsiteX2" fmla="*/ 211931 w 847931"/>
            <a:gd name="connsiteY2" fmla="*/ 620605 h 726570"/>
            <a:gd name="connsiteX3" fmla="*/ 211931 w 847931"/>
            <a:gd name="connsiteY3" fmla="*/ 726570 h 726570"/>
            <a:gd name="connsiteX4" fmla="*/ 0 w 847931"/>
            <a:gd name="connsiteY4" fmla="*/ 528042 h 726570"/>
            <a:gd name="connsiteX5" fmla="*/ 211931 w 847931"/>
            <a:gd name="connsiteY5" fmla="*/ 302708 h 726570"/>
            <a:gd name="connsiteX6" fmla="*/ 211931 w 847931"/>
            <a:gd name="connsiteY6" fmla="*/ 408673 h 726570"/>
            <a:gd name="connsiteX7" fmla="*/ 820574 w 847931"/>
            <a:gd name="connsiteY7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211931 w 847931"/>
            <a:gd name="connsiteY2" fmla="*/ 620605 h 726570"/>
            <a:gd name="connsiteX3" fmla="*/ 211931 w 847931"/>
            <a:gd name="connsiteY3" fmla="*/ 726570 h 726570"/>
            <a:gd name="connsiteX4" fmla="*/ 0 w 847931"/>
            <a:gd name="connsiteY4" fmla="*/ 528042 h 726570"/>
            <a:gd name="connsiteX5" fmla="*/ 211931 w 847931"/>
            <a:gd name="connsiteY5" fmla="*/ 302708 h 726570"/>
            <a:gd name="connsiteX6" fmla="*/ 211931 w 847931"/>
            <a:gd name="connsiteY6" fmla="*/ 408673 h 726570"/>
            <a:gd name="connsiteX7" fmla="*/ 820574 w 847931"/>
            <a:gd name="connsiteY7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766763 w 847931"/>
            <a:gd name="connsiteY2" fmla="*/ 397073 h 726570"/>
            <a:gd name="connsiteX3" fmla="*/ 211931 w 847931"/>
            <a:gd name="connsiteY3" fmla="*/ 620605 h 726570"/>
            <a:gd name="connsiteX4" fmla="*/ 211931 w 847931"/>
            <a:gd name="connsiteY4" fmla="*/ 726570 h 726570"/>
            <a:gd name="connsiteX5" fmla="*/ 0 w 847931"/>
            <a:gd name="connsiteY5" fmla="*/ 528042 h 726570"/>
            <a:gd name="connsiteX6" fmla="*/ 211931 w 847931"/>
            <a:gd name="connsiteY6" fmla="*/ 302708 h 726570"/>
            <a:gd name="connsiteX7" fmla="*/ 211931 w 847931"/>
            <a:gd name="connsiteY7" fmla="*/ 408673 h 726570"/>
            <a:gd name="connsiteX8" fmla="*/ 820574 w 847931"/>
            <a:gd name="connsiteY8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20574 w 847931"/>
            <a:gd name="connsiteY9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20574 w 847931"/>
            <a:gd name="connsiteY9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39624 w 847931"/>
            <a:gd name="connsiteY9" fmla="*/ 101201 h 726570"/>
            <a:gd name="connsiteX0" fmla="*/ 0 w 953924"/>
            <a:gd name="connsiteY0" fmla="*/ 528042 h 726570"/>
            <a:gd name="connsiteX1" fmla="*/ 211931 w 953924"/>
            <a:gd name="connsiteY1" fmla="*/ 302708 h 726570"/>
            <a:gd name="connsiteX2" fmla="*/ 211931 w 953924"/>
            <a:gd name="connsiteY2" fmla="*/ 408673 h 726570"/>
            <a:gd name="connsiteX3" fmla="*/ 820574 w 953924"/>
            <a:gd name="connsiteY3" fmla="*/ 105964 h 726570"/>
            <a:gd name="connsiteX4" fmla="*/ 211931 w 953924"/>
            <a:gd name="connsiteY4" fmla="*/ 620604 h 726570"/>
            <a:gd name="connsiteX5" fmla="*/ 211931 w 953924"/>
            <a:gd name="connsiteY5" fmla="*/ 726570 h 726570"/>
            <a:gd name="connsiteX6" fmla="*/ 0 w 953924"/>
            <a:gd name="connsiteY6" fmla="*/ 528042 h 726570"/>
            <a:gd name="connsiteX0" fmla="*/ 847725 w 953924"/>
            <a:gd name="connsiteY0" fmla="*/ 211931 h 726570"/>
            <a:gd name="connsiteX1" fmla="*/ 847725 w 953924"/>
            <a:gd name="connsiteY1" fmla="*/ 0 h 726570"/>
            <a:gd name="connsiteX2" fmla="*/ 847725 w 953924"/>
            <a:gd name="connsiteY2" fmla="*/ 211931 h 726570"/>
            <a:gd name="connsiteX0" fmla="*/ 847725 w 953924"/>
            <a:gd name="connsiteY0" fmla="*/ 211931 h 726570"/>
            <a:gd name="connsiteX1" fmla="*/ 842962 w 953924"/>
            <a:gd name="connsiteY1" fmla="*/ 97631 h 726570"/>
            <a:gd name="connsiteX2" fmla="*/ 766763 w 953924"/>
            <a:gd name="connsiteY2" fmla="*/ 397073 h 726570"/>
            <a:gd name="connsiteX3" fmla="*/ 509588 w 953924"/>
            <a:gd name="connsiteY3" fmla="*/ 544711 h 726570"/>
            <a:gd name="connsiteX4" fmla="*/ 211931 w 953924"/>
            <a:gd name="connsiteY4" fmla="*/ 620605 h 726570"/>
            <a:gd name="connsiteX5" fmla="*/ 211931 w 953924"/>
            <a:gd name="connsiteY5" fmla="*/ 726570 h 726570"/>
            <a:gd name="connsiteX6" fmla="*/ 0 w 953924"/>
            <a:gd name="connsiteY6" fmla="*/ 528042 h 726570"/>
            <a:gd name="connsiteX7" fmla="*/ 211931 w 953924"/>
            <a:gd name="connsiteY7" fmla="*/ 302708 h 726570"/>
            <a:gd name="connsiteX8" fmla="*/ 211931 w 953924"/>
            <a:gd name="connsiteY8" fmla="*/ 408673 h 726570"/>
            <a:gd name="connsiteX9" fmla="*/ 953924 w 953924"/>
            <a:gd name="connsiteY9" fmla="*/ 220263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30099 w 847931"/>
            <a:gd name="connsiteY9" fmla="*/ 105963 h 7265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847931" h="726570" stroke="0" extrusionOk="0">
              <a:moveTo>
                <a:pt x="0" y="528042"/>
              </a:moveTo>
              <a:lnTo>
                <a:pt x="211931" y="302708"/>
              </a:lnTo>
              <a:lnTo>
                <a:pt x="211931" y="408673"/>
              </a:lnTo>
              <a:cubicBezTo>
                <a:pt x="510211" y="370327"/>
                <a:pt x="743233" y="254434"/>
                <a:pt x="820574" y="105964"/>
              </a:cubicBezTo>
              <a:cubicBezTo>
                <a:pt x="938206" y="331779"/>
                <a:pt x="665600" y="562282"/>
                <a:pt x="211931" y="620604"/>
              </a:cubicBezTo>
              <a:lnTo>
                <a:pt x="211931" y="726570"/>
              </a:lnTo>
              <a:lnTo>
                <a:pt x="0" y="528042"/>
              </a:lnTo>
              <a:close/>
            </a:path>
            <a:path w="847931" h="726570" fill="darkenLess" stroke="0" extrusionOk="0">
              <a:moveTo>
                <a:pt x="847725" y="211931"/>
              </a:moveTo>
              <a:lnTo>
                <a:pt x="847725" y="0"/>
              </a:lnTo>
              <a:lnTo>
                <a:pt x="847725" y="211931"/>
              </a:lnTo>
              <a:close/>
            </a:path>
            <a:path w="847931" h="726570" fill="none" extrusionOk="0">
              <a:moveTo>
                <a:pt x="847725" y="211931"/>
              </a:moveTo>
              <a:lnTo>
                <a:pt x="842962" y="97631"/>
              </a:lnTo>
              <a:cubicBezTo>
                <a:pt x="823912" y="124519"/>
                <a:pt x="872729" y="314673"/>
                <a:pt x="766763" y="397073"/>
              </a:cubicBezTo>
              <a:cubicBezTo>
                <a:pt x="709613" y="462061"/>
                <a:pt x="602060" y="507456"/>
                <a:pt x="509588" y="544711"/>
              </a:cubicBezTo>
              <a:cubicBezTo>
                <a:pt x="417116" y="581966"/>
                <a:pt x="260747" y="585533"/>
                <a:pt x="211931" y="620605"/>
              </a:cubicBezTo>
              <a:lnTo>
                <a:pt x="211931" y="726570"/>
              </a:lnTo>
              <a:lnTo>
                <a:pt x="0" y="528042"/>
              </a:lnTo>
              <a:lnTo>
                <a:pt x="211931" y="302708"/>
              </a:lnTo>
              <a:lnTo>
                <a:pt x="211931" y="408673"/>
              </a:lnTo>
              <a:cubicBezTo>
                <a:pt x="510211" y="370327"/>
                <a:pt x="752758" y="254433"/>
                <a:pt x="830099" y="105963"/>
              </a:cubicBezTo>
            </a:path>
          </a:pathLst>
        </a:cu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oneCellAnchor>
    <xdr:from>
      <xdr:col>10</xdr:col>
      <xdr:colOff>413325</xdr:colOff>
      <xdr:row>3</xdr:row>
      <xdr:rowOff>0</xdr:rowOff>
    </xdr:from>
    <xdr:ext cx="1341970" cy="53065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6052125" y="1211580"/>
          <a:ext cx="134197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 i="1">
              <a:solidFill>
                <a:srgbClr val="C00000"/>
              </a:solidFill>
              <a:latin typeface="+mn-lt"/>
            </a:rPr>
            <a:t>Enter data into </a:t>
          </a:r>
        </a:p>
        <a:p>
          <a:r>
            <a:rPr lang="en-US" sz="1400" b="1" i="1">
              <a:solidFill>
                <a:schemeClr val="bg1"/>
              </a:solidFill>
              <a:latin typeface="+mn-lt"/>
            </a:rPr>
            <a:t>white</a:t>
          </a:r>
          <a:r>
            <a:rPr lang="en-US" sz="1400" b="1" i="1">
              <a:latin typeface="+mn-lt"/>
            </a:rPr>
            <a:t>  </a:t>
          </a:r>
          <a:r>
            <a:rPr lang="en-US" sz="1400" b="1" i="1">
              <a:solidFill>
                <a:srgbClr val="C00000"/>
              </a:solidFill>
              <a:latin typeface="+mn-lt"/>
            </a:rPr>
            <a:t>areas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163842</xdr:colOff>
      <xdr:row>13</xdr:row>
      <xdr:rowOff>92063</xdr:rowOff>
    </xdr:from>
    <xdr:to>
      <xdr:col>13</xdr:col>
      <xdr:colOff>476832</xdr:colOff>
      <xdr:row>14</xdr:row>
      <xdr:rowOff>143074</xdr:rowOff>
    </xdr:to>
    <xdr:sp macro="" textlink="">
      <xdr:nvSpPr>
        <xdr:cNvPr id="3" name="Freeform 1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0204607">
          <a:off x="10207002" y="2538083"/>
          <a:ext cx="312990" cy="241511"/>
        </a:xfrm>
        <a:custGeom>
          <a:avLst/>
          <a:gdLst>
            <a:gd name="connsiteX0" fmla="*/ 0 w 128716"/>
            <a:gd name="connsiteY0" fmla="*/ 0 h 257175"/>
            <a:gd name="connsiteX1" fmla="*/ 128588 w 128716"/>
            <a:gd name="connsiteY1" fmla="*/ 147638 h 257175"/>
            <a:gd name="connsiteX2" fmla="*/ 19050 w 128716"/>
            <a:gd name="connsiteY2" fmla="*/ 257175 h 257175"/>
            <a:gd name="connsiteX0" fmla="*/ 0 w 182398"/>
            <a:gd name="connsiteY0" fmla="*/ 0 h 242887"/>
            <a:gd name="connsiteX1" fmla="*/ 180975 w 182398"/>
            <a:gd name="connsiteY1" fmla="*/ 133350 h 242887"/>
            <a:gd name="connsiteX2" fmla="*/ 71437 w 182398"/>
            <a:gd name="connsiteY2" fmla="*/ 242887 h 242887"/>
            <a:gd name="connsiteX0" fmla="*/ 0 w 182398"/>
            <a:gd name="connsiteY0" fmla="*/ 0 h 242887"/>
            <a:gd name="connsiteX1" fmla="*/ 119062 w 182398"/>
            <a:gd name="connsiteY1" fmla="*/ 66675 h 242887"/>
            <a:gd name="connsiteX2" fmla="*/ 180975 w 182398"/>
            <a:gd name="connsiteY2" fmla="*/ 133350 h 242887"/>
            <a:gd name="connsiteX3" fmla="*/ 71437 w 182398"/>
            <a:gd name="connsiteY3" fmla="*/ 242887 h 242887"/>
            <a:gd name="connsiteX0" fmla="*/ 0 w 183754"/>
            <a:gd name="connsiteY0" fmla="*/ 0 h 242887"/>
            <a:gd name="connsiteX1" fmla="*/ 138112 w 183754"/>
            <a:gd name="connsiteY1" fmla="*/ 42862 h 242887"/>
            <a:gd name="connsiteX2" fmla="*/ 180975 w 183754"/>
            <a:gd name="connsiteY2" fmla="*/ 133350 h 242887"/>
            <a:gd name="connsiteX3" fmla="*/ 71437 w 183754"/>
            <a:gd name="connsiteY3" fmla="*/ 242887 h 242887"/>
            <a:gd name="connsiteX0" fmla="*/ 0 w 186493"/>
            <a:gd name="connsiteY0" fmla="*/ 0 h 242887"/>
            <a:gd name="connsiteX1" fmla="*/ 152400 w 186493"/>
            <a:gd name="connsiteY1" fmla="*/ 19050 h 242887"/>
            <a:gd name="connsiteX2" fmla="*/ 180975 w 186493"/>
            <a:gd name="connsiteY2" fmla="*/ 133350 h 242887"/>
            <a:gd name="connsiteX3" fmla="*/ 71437 w 186493"/>
            <a:gd name="connsiteY3" fmla="*/ 242887 h 242887"/>
            <a:gd name="connsiteX0" fmla="*/ 0 w 138868"/>
            <a:gd name="connsiteY0" fmla="*/ 0 h 242887"/>
            <a:gd name="connsiteX1" fmla="*/ 104775 w 138868"/>
            <a:gd name="connsiteY1" fmla="*/ 19050 h 242887"/>
            <a:gd name="connsiteX2" fmla="*/ 133350 w 138868"/>
            <a:gd name="connsiteY2" fmla="*/ 133350 h 242887"/>
            <a:gd name="connsiteX3" fmla="*/ 23812 w 138868"/>
            <a:gd name="connsiteY3" fmla="*/ 242887 h 242887"/>
            <a:gd name="connsiteX0" fmla="*/ 0 w 155533"/>
            <a:gd name="connsiteY0" fmla="*/ 0 h 237104"/>
            <a:gd name="connsiteX1" fmla="*/ 121440 w 155533"/>
            <a:gd name="connsiteY1" fmla="*/ 13267 h 237104"/>
            <a:gd name="connsiteX2" fmla="*/ 150015 w 155533"/>
            <a:gd name="connsiteY2" fmla="*/ 127567 h 237104"/>
            <a:gd name="connsiteX3" fmla="*/ 40477 w 155533"/>
            <a:gd name="connsiteY3" fmla="*/ 237104 h 237104"/>
            <a:gd name="connsiteX0" fmla="*/ 0 w 183306"/>
            <a:gd name="connsiteY0" fmla="*/ 43061 h 228117"/>
            <a:gd name="connsiteX1" fmla="*/ 149213 w 183306"/>
            <a:gd name="connsiteY1" fmla="*/ 4280 h 228117"/>
            <a:gd name="connsiteX2" fmla="*/ 177788 w 183306"/>
            <a:gd name="connsiteY2" fmla="*/ 118580 h 228117"/>
            <a:gd name="connsiteX3" fmla="*/ 68250 w 183306"/>
            <a:gd name="connsiteY3" fmla="*/ 228117 h 228117"/>
            <a:gd name="connsiteX0" fmla="*/ 0 w 181598"/>
            <a:gd name="connsiteY0" fmla="*/ 44196 h 229252"/>
            <a:gd name="connsiteX1" fmla="*/ 77768 w 181598"/>
            <a:gd name="connsiteY1" fmla="*/ 21070 h 229252"/>
            <a:gd name="connsiteX2" fmla="*/ 149213 w 181598"/>
            <a:gd name="connsiteY2" fmla="*/ 5415 h 229252"/>
            <a:gd name="connsiteX3" fmla="*/ 177788 w 181598"/>
            <a:gd name="connsiteY3" fmla="*/ 119715 h 229252"/>
            <a:gd name="connsiteX4" fmla="*/ 68250 w 181598"/>
            <a:gd name="connsiteY4" fmla="*/ 229252 h 229252"/>
            <a:gd name="connsiteX0" fmla="*/ 0 w 181598"/>
            <a:gd name="connsiteY0" fmla="*/ 48385 h 233441"/>
            <a:gd name="connsiteX1" fmla="*/ 66658 w 181598"/>
            <a:gd name="connsiteY1" fmla="*/ 7910 h 233441"/>
            <a:gd name="connsiteX2" fmla="*/ 149213 w 181598"/>
            <a:gd name="connsiteY2" fmla="*/ 9604 h 233441"/>
            <a:gd name="connsiteX3" fmla="*/ 177788 w 181598"/>
            <a:gd name="connsiteY3" fmla="*/ 123904 h 233441"/>
            <a:gd name="connsiteX4" fmla="*/ 68250 w 181598"/>
            <a:gd name="connsiteY4" fmla="*/ 233441 h 233441"/>
            <a:gd name="connsiteX0" fmla="*/ 147255 w 148055"/>
            <a:gd name="connsiteY0" fmla="*/ 63 h 428287"/>
            <a:gd name="connsiteX1" fmla="*/ 1007 w 148055"/>
            <a:gd name="connsiteY1" fmla="*/ 202756 h 428287"/>
            <a:gd name="connsiteX2" fmla="*/ 83562 w 148055"/>
            <a:gd name="connsiteY2" fmla="*/ 204450 h 428287"/>
            <a:gd name="connsiteX3" fmla="*/ 112137 w 148055"/>
            <a:gd name="connsiteY3" fmla="*/ 318750 h 428287"/>
            <a:gd name="connsiteX4" fmla="*/ 2599 w 148055"/>
            <a:gd name="connsiteY4" fmla="*/ 428287 h 428287"/>
            <a:gd name="connsiteX0" fmla="*/ 144656 w 147441"/>
            <a:gd name="connsiteY0" fmla="*/ 117 h 428341"/>
            <a:gd name="connsiteX1" fmla="*/ 111123 w 147441"/>
            <a:gd name="connsiteY1" fmla="*/ 121755 h 428341"/>
            <a:gd name="connsiteX2" fmla="*/ 80963 w 147441"/>
            <a:gd name="connsiteY2" fmla="*/ 204504 h 428341"/>
            <a:gd name="connsiteX3" fmla="*/ 109538 w 147441"/>
            <a:gd name="connsiteY3" fmla="*/ 318804 h 428341"/>
            <a:gd name="connsiteX4" fmla="*/ 0 w 147441"/>
            <a:gd name="connsiteY4" fmla="*/ 428341 h 428341"/>
            <a:gd name="connsiteX0" fmla="*/ 144656 w 147029"/>
            <a:gd name="connsiteY0" fmla="*/ 120 h 428344"/>
            <a:gd name="connsiteX1" fmla="*/ 111123 w 147029"/>
            <a:gd name="connsiteY1" fmla="*/ 121758 h 428344"/>
            <a:gd name="connsiteX2" fmla="*/ 131058 w 147029"/>
            <a:gd name="connsiteY2" fmla="*/ 220718 h 428344"/>
            <a:gd name="connsiteX3" fmla="*/ 109538 w 147029"/>
            <a:gd name="connsiteY3" fmla="*/ 318807 h 428344"/>
            <a:gd name="connsiteX4" fmla="*/ 0 w 147029"/>
            <a:gd name="connsiteY4" fmla="*/ 428344 h 428344"/>
            <a:gd name="connsiteX0" fmla="*/ 257370 w 258226"/>
            <a:gd name="connsiteY0" fmla="*/ 456 h 347623"/>
            <a:gd name="connsiteX1" fmla="*/ 111123 w 258226"/>
            <a:gd name="connsiteY1" fmla="*/ 41037 h 347623"/>
            <a:gd name="connsiteX2" fmla="*/ 131058 w 258226"/>
            <a:gd name="connsiteY2" fmla="*/ 139997 h 347623"/>
            <a:gd name="connsiteX3" fmla="*/ 109538 w 258226"/>
            <a:gd name="connsiteY3" fmla="*/ 238086 h 347623"/>
            <a:gd name="connsiteX4" fmla="*/ 0 w 258226"/>
            <a:gd name="connsiteY4" fmla="*/ 347623 h 347623"/>
            <a:gd name="connsiteX0" fmla="*/ 186813 w 188240"/>
            <a:gd name="connsiteY0" fmla="*/ 456 h 347623"/>
            <a:gd name="connsiteX1" fmla="*/ 111123 w 188240"/>
            <a:gd name="connsiteY1" fmla="*/ 41037 h 347623"/>
            <a:gd name="connsiteX2" fmla="*/ 131058 w 188240"/>
            <a:gd name="connsiteY2" fmla="*/ 139997 h 347623"/>
            <a:gd name="connsiteX3" fmla="*/ 109538 w 188240"/>
            <a:gd name="connsiteY3" fmla="*/ 238086 h 347623"/>
            <a:gd name="connsiteX4" fmla="*/ 0 w 188240"/>
            <a:gd name="connsiteY4" fmla="*/ 347623 h 347623"/>
            <a:gd name="connsiteX0" fmla="*/ 181774 w 183272"/>
            <a:gd name="connsiteY0" fmla="*/ 4084 h 318829"/>
            <a:gd name="connsiteX1" fmla="*/ 111123 w 183272"/>
            <a:gd name="connsiteY1" fmla="*/ 12243 h 318829"/>
            <a:gd name="connsiteX2" fmla="*/ 131058 w 183272"/>
            <a:gd name="connsiteY2" fmla="*/ 111203 h 318829"/>
            <a:gd name="connsiteX3" fmla="*/ 109538 w 183272"/>
            <a:gd name="connsiteY3" fmla="*/ 209292 h 318829"/>
            <a:gd name="connsiteX4" fmla="*/ 0 w 183272"/>
            <a:gd name="connsiteY4" fmla="*/ 318829 h 318829"/>
            <a:gd name="connsiteX0" fmla="*/ 181774 w 183741"/>
            <a:gd name="connsiteY0" fmla="*/ 515 h 315260"/>
            <a:gd name="connsiteX1" fmla="*/ 131282 w 183741"/>
            <a:gd name="connsiteY1" fmla="*/ 32991 h 315260"/>
            <a:gd name="connsiteX2" fmla="*/ 131058 w 183741"/>
            <a:gd name="connsiteY2" fmla="*/ 107634 h 315260"/>
            <a:gd name="connsiteX3" fmla="*/ 109538 w 183741"/>
            <a:gd name="connsiteY3" fmla="*/ 205723 h 315260"/>
            <a:gd name="connsiteX4" fmla="*/ 0 w 183741"/>
            <a:gd name="connsiteY4" fmla="*/ 315260 h 315260"/>
            <a:gd name="connsiteX0" fmla="*/ 181774 w 183929"/>
            <a:gd name="connsiteY0" fmla="*/ 488 h 315233"/>
            <a:gd name="connsiteX1" fmla="*/ 131282 w 183929"/>
            <a:gd name="connsiteY1" fmla="*/ 32964 h 315233"/>
            <a:gd name="connsiteX2" fmla="*/ 95780 w 183929"/>
            <a:gd name="connsiteY2" fmla="*/ 99502 h 315233"/>
            <a:gd name="connsiteX3" fmla="*/ 109538 w 183929"/>
            <a:gd name="connsiteY3" fmla="*/ 205696 h 315233"/>
            <a:gd name="connsiteX4" fmla="*/ 0 w 183929"/>
            <a:gd name="connsiteY4" fmla="*/ 315233 h 315233"/>
            <a:gd name="connsiteX0" fmla="*/ 161615 w 164632"/>
            <a:gd name="connsiteY0" fmla="*/ 11449 h 285667"/>
            <a:gd name="connsiteX1" fmla="*/ 131282 w 164632"/>
            <a:gd name="connsiteY1" fmla="*/ 3398 h 285667"/>
            <a:gd name="connsiteX2" fmla="*/ 95780 w 164632"/>
            <a:gd name="connsiteY2" fmla="*/ 69936 h 285667"/>
            <a:gd name="connsiteX3" fmla="*/ 109538 w 164632"/>
            <a:gd name="connsiteY3" fmla="*/ 176130 h 285667"/>
            <a:gd name="connsiteX4" fmla="*/ 0 w 164632"/>
            <a:gd name="connsiteY4" fmla="*/ 285667 h 285667"/>
            <a:gd name="connsiteX0" fmla="*/ 66134 w 99256"/>
            <a:gd name="connsiteY0" fmla="*/ 11447 h 285665"/>
            <a:gd name="connsiteX1" fmla="*/ 35801 w 99256"/>
            <a:gd name="connsiteY1" fmla="*/ 3396 h 285665"/>
            <a:gd name="connsiteX2" fmla="*/ 299 w 99256"/>
            <a:gd name="connsiteY2" fmla="*/ 69934 h 285665"/>
            <a:gd name="connsiteX3" fmla="*/ 14057 w 99256"/>
            <a:gd name="connsiteY3" fmla="*/ 176128 h 285665"/>
            <a:gd name="connsiteX4" fmla="*/ 85951 w 99256"/>
            <a:gd name="connsiteY4" fmla="*/ 285665 h 285665"/>
            <a:gd name="connsiteX0" fmla="*/ 0 w 154077"/>
            <a:gd name="connsiteY0" fmla="*/ 681 h 307321"/>
            <a:gd name="connsiteX1" fmla="*/ 90622 w 154077"/>
            <a:gd name="connsiteY1" fmla="*/ 25052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681 h 307321"/>
            <a:gd name="connsiteX1" fmla="*/ 45264 w 154077"/>
            <a:gd name="connsiteY1" fmla="*/ 25053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1178 h 307818"/>
            <a:gd name="connsiteX1" fmla="*/ 45264 w 154077"/>
            <a:gd name="connsiteY1" fmla="*/ 25550 h 307818"/>
            <a:gd name="connsiteX2" fmla="*/ 29921 w 154077"/>
            <a:gd name="connsiteY2" fmla="*/ 140720 h 307818"/>
            <a:gd name="connsiteX3" fmla="*/ 68878 w 154077"/>
            <a:gd name="connsiteY3" fmla="*/ 198281 h 307818"/>
            <a:gd name="connsiteX4" fmla="*/ 140772 w 154077"/>
            <a:gd name="connsiteY4" fmla="*/ 307818 h 307818"/>
            <a:gd name="connsiteX0" fmla="*/ 0 w 144793"/>
            <a:gd name="connsiteY0" fmla="*/ 1178 h 242973"/>
            <a:gd name="connsiteX1" fmla="*/ 45264 w 144793"/>
            <a:gd name="connsiteY1" fmla="*/ 25550 h 242973"/>
            <a:gd name="connsiteX2" fmla="*/ 29921 w 144793"/>
            <a:gd name="connsiteY2" fmla="*/ 140720 h 242973"/>
            <a:gd name="connsiteX3" fmla="*/ 68878 w 144793"/>
            <a:gd name="connsiteY3" fmla="*/ 198281 h 242973"/>
            <a:gd name="connsiteX4" fmla="*/ 130692 w 144793"/>
            <a:gd name="connsiteY4" fmla="*/ 242973 h 2429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4793" h="242973">
              <a:moveTo>
                <a:pt x="0" y="1178"/>
              </a:moveTo>
              <a:cubicBezTo>
                <a:pt x="12961" y="-2676"/>
                <a:pt x="40277" y="2293"/>
                <a:pt x="45264" y="25550"/>
              </a:cubicBezTo>
              <a:cubicBezTo>
                <a:pt x="50251" y="48807"/>
                <a:pt x="25985" y="111932"/>
                <a:pt x="29921" y="140720"/>
              </a:cubicBezTo>
              <a:cubicBezTo>
                <a:pt x="33857" y="169508"/>
                <a:pt x="82372" y="160975"/>
                <a:pt x="68878" y="198281"/>
              </a:cubicBezTo>
              <a:cubicBezTo>
                <a:pt x="55384" y="235587"/>
                <a:pt x="187048" y="209635"/>
                <a:pt x="130692" y="242973"/>
              </a:cubicBezTo>
            </a:path>
          </a:pathLst>
        </a:custGeom>
        <a:noFill/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80021</xdr:colOff>
      <xdr:row>25</xdr:row>
      <xdr:rowOff>153023</xdr:rowOff>
    </xdr:from>
    <xdr:to>
      <xdr:col>13</xdr:col>
      <xdr:colOff>393011</xdr:colOff>
      <xdr:row>27</xdr:row>
      <xdr:rowOff>21154</xdr:rowOff>
    </xdr:to>
    <xdr:sp macro="" textlink="">
      <xdr:nvSpPr>
        <xdr:cNvPr id="4" name="Freeform 1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 rot="10204607">
          <a:off x="10123181" y="4862183"/>
          <a:ext cx="312990" cy="241511"/>
        </a:xfrm>
        <a:custGeom>
          <a:avLst/>
          <a:gdLst>
            <a:gd name="connsiteX0" fmla="*/ 0 w 128716"/>
            <a:gd name="connsiteY0" fmla="*/ 0 h 257175"/>
            <a:gd name="connsiteX1" fmla="*/ 128588 w 128716"/>
            <a:gd name="connsiteY1" fmla="*/ 147638 h 257175"/>
            <a:gd name="connsiteX2" fmla="*/ 19050 w 128716"/>
            <a:gd name="connsiteY2" fmla="*/ 257175 h 257175"/>
            <a:gd name="connsiteX0" fmla="*/ 0 w 182398"/>
            <a:gd name="connsiteY0" fmla="*/ 0 h 242887"/>
            <a:gd name="connsiteX1" fmla="*/ 180975 w 182398"/>
            <a:gd name="connsiteY1" fmla="*/ 133350 h 242887"/>
            <a:gd name="connsiteX2" fmla="*/ 71437 w 182398"/>
            <a:gd name="connsiteY2" fmla="*/ 242887 h 242887"/>
            <a:gd name="connsiteX0" fmla="*/ 0 w 182398"/>
            <a:gd name="connsiteY0" fmla="*/ 0 h 242887"/>
            <a:gd name="connsiteX1" fmla="*/ 119062 w 182398"/>
            <a:gd name="connsiteY1" fmla="*/ 66675 h 242887"/>
            <a:gd name="connsiteX2" fmla="*/ 180975 w 182398"/>
            <a:gd name="connsiteY2" fmla="*/ 133350 h 242887"/>
            <a:gd name="connsiteX3" fmla="*/ 71437 w 182398"/>
            <a:gd name="connsiteY3" fmla="*/ 242887 h 242887"/>
            <a:gd name="connsiteX0" fmla="*/ 0 w 183754"/>
            <a:gd name="connsiteY0" fmla="*/ 0 h 242887"/>
            <a:gd name="connsiteX1" fmla="*/ 138112 w 183754"/>
            <a:gd name="connsiteY1" fmla="*/ 42862 h 242887"/>
            <a:gd name="connsiteX2" fmla="*/ 180975 w 183754"/>
            <a:gd name="connsiteY2" fmla="*/ 133350 h 242887"/>
            <a:gd name="connsiteX3" fmla="*/ 71437 w 183754"/>
            <a:gd name="connsiteY3" fmla="*/ 242887 h 242887"/>
            <a:gd name="connsiteX0" fmla="*/ 0 w 186493"/>
            <a:gd name="connsiteY0" fmla="*/ 0 h 242887"/>
            <a:gd name="connsiteX1" fmla="*/ 152400 w 186493"/>
            <a:gd name="connsiteY1" fmla="*/ 19050 h 242887"/>
            <a:gd name="connsiteX2" fmla="*/ 180975 w 186493"/>
            <a:gd name="connsiteY2" fmla="*/ 133350 h 242887"/>
            <a:gd name="connsiteX3" fmla="*/ 71437 w 186493"/>
            <a:gd name="connsiteY3" fmla="*/ 242887 h 242887"/>
            <a:gd name="connsiteX0" fmla="*/ 0 w 138868"/>
            <a:gd name="connsiteY0" fmla="*/ 0 h 242887"/>
            <a:gd name="connsiteX1" fmla="*/ 104775 w 138868"/>
            <a:gd name="connsiteY1" fmla="*/ 19050 h 242887"/>
            <a:gd name="connsiteX2" fmla="*/ 133350 w 138868"/>
            <a:gd name="connsiteY2" fmla="*/ 133350 h 242887"/>
            <a:gd name="connsiteX3" fmla="*/ 23812 w 138868"/>
            <a:gd name="connsiteY3" fmla="*/ 242887 h 242887"/>
            <a:gd name="connsiteX0" fmla="*/ 0 w 155533"/>
            <a:gd name="connsiteY0" fmla="*/ 0 h 237104"/>
            <a:gd name="connsiteX1" fmla="*/ 121440 w 155533"/>
            <a:gd name="connsiteY1" fmla="*/ 13267 h 237104"/>
            <a:gd name="connsiteX2" fmla="*/ 150015 w 155533"/>
            <a:gd name="connsiteY2" fmla="*/ 127567 h 237104"/>
            <a:gd name="connsiteX3" fmla="*/ 40477 w 155533"/>
            <a:gd name="connsiteY3" fmla="*/ 237104 h 237104"/>
            <a:gd name="connsiteX0" fmla="*/ 0 w 183306"/>
            <a:gd name="connsiteY0" fmla="*/ 43061 h 228117"/>
            <a:gd name="connsiteX1" fmla="*/ 149213 w 183306"/>
            <a:gd name="connsiteY1" fmla="*/ 4280 h 228117"/>
            <a:gd name="connsiteX2" fmla="*/ 177788 w 183306"/>
            <a:gd name="connsiteY2" fmla="*/ 118580 h 228117"/>
            <a:gd name="connsiteX3" fmla="*/ 68250 w 183306"/>
            <a:gd name="connsiteY3" fmla="*/ 228117 h 228117"/>
            <a:gd name="connsiteX0" fmla="*/ 0 w 181598"/>
            <a:gd name="connsiteY0" fmla="*/ 44196 h 229252"/>
            <a:gd name="connsiteX1" fmla="*/ 77768 w 181598"/>
            <a:gd name="connsiteY1" fmla="*/ 21070 h 229252"/>
            <a:gd name="connsiteX2" fmla="*/ 149213 w 181598"/>
            <a:gd name="connsiteY2" fmla="*/ 5415 h 229252"/>
            <a:gd name="connsiteX3" fmla="*/ 177788 w 181598"/>
            <a:gd name="connsiteY3" fmla="*/ 119715 h 229252"/>
            <a:gd name="connsiteX4" fmla="*/ 68250 w 181598"/>
            <a:gd name="connsiteY4" fmla="*/ 229252 h 229252"/>
            <a:gd name="connsiteX0" fmla="*/ 0 w 181598"/>
            <a:gd name="connsiteY0" fmla="*/ 48385 h 233441"/>
            <a:gd name="connsiteX1" fmla="*/ 66658 w 181598"/>
            <a:gd name="connsiteY1" fmla="*/ 7910 h 233441"/>
            <a:gd name="connsiteX2" fmla="*/ 149213 w 181598"/>
            <a:gd name="connsiteY2" fmla="*/ 9604 h 233441"/>
            <a:gd name="connsiteX3" fmla="*/ 177788 w 181598"/>
            <a:gd name="connsiteY3" fmla="*/ 123904 h 233441"/>
            <a:gd name="connsiteX4" fmla="*/ 68250 w 181598"/>
            <a:gd name="connsiteY4" fmla="*/ 233441 h 233441"/>
            <a:gd name="connsiteX0" fmla="*/ 147255 w 148055"/>
            <a:gd name="connsiteY0" fmla="*/ 63 h 428287"/>
            <a:gd name="connsiteX1" fmla="*/ 1007 w 148055"/>
            <a:gd name="connsiteY1" fmla="*/ 202756 h 428287"/>
            <a:gd name="connsiteX2" fmla="*/ 83562 w 148055"/>
            <a:gd name="connsiteY2" fmla="*/ 204450 h 428287"/>
            <a:gd name="connsiteX3" fmla="*/ 112137 w 148055"/>
            <a:gd name="connsiteY3" fmla="*/ 318750 h 428287"/>
            <a:gd name="connsiteX4" fmla="*/ 2599 w 148055"/>
            <a:gd name="connsiteY4" fmla="*/ 428287 h 428287"/>
            <a:gd name="connsiteX0" fmla="*/ 144656 w 147441"/>
            <a:gd name="connsiteY0" fmla="*/ 117 h 428341"/>
            <a:gd name="connsiteX1" fmla="*/ 111123 w 147441"/>
            <a:gd name="connsiteY1" fmla="*/ 121755 h 428341"/>
            <a:gd name="connsiteX2" fmla="*/ 80963 w 147441"/>
            <a:gd name="connsiteY2" fmla="*/ 204504 h 428341"/>
            <a:gd name="connsiteX3" fmla="*/ 109538 w 147441"/>
            <a:gd name="connsiteY3" fmla="*/ 318804 h 428341"/>
            <a:gd name="connsiteX4" fmla="*/ 0 w 147441"/>
            <a:gd name="connsiteY4" fmla="*/ 428341 h 428341"/>
            <a:gd name="connsiteX0" fmla="*/ 144656 w 147029"/>
            <a:gd name="connsiteY0" fmla="*/ 120 h 428344"/>
            <a:gd name="connsiteX1" fmla="*/ 111123 w 147029"/>
            <a:gd name="connsiteY1" fmla="*/ 121758 h 428344"/>
            <a:gd name="connsiteX2" fmla="*/ 131058 w 147029"/>
            <a:gd name="connsiteY2" fmla="*/ 220718 h 428344"/>
            <a:gd name="connsiteX3" fmla="*/ 109538 w 147029"/>
            <a:gd name="connsiteY3" fmla="*/ 318807 h 428344"/>
            <a:gd name="connsiteX4" fmla="*/ 0 w 147029"/>
            <a:gd name="connsiteY4" fmla="*/ 428344 h 428344"/>
            <a:gd name="connsiteX0" fmla="*/ 257370 w 258226"/>
            <a:gd name="connsiteY0" fmla="*/ 456 h 347623"/>
            <a:gd name="connsiteX1" fmla="*/ 111123 w 258226"/>
            <a:gd name="connsiteY1" fmla="*/ 41037 h 347623"/>
            <a:gd name="connsiteX2" fmla="*/ 131058 w 258226"/>
            <a:gd name="connsiteY2" fmla="*/ 139997 h 347623"/>
            <a:gd name="connsiteX3" fmla="*/ 109538 w 258226"/>
            <a:gd name="connsiteY3" fmla="*/ 238086 h 347623"/>
            <a:gd name="connsiteX4" fmla="*/ 0 w 258226"/>
            <a:gd name="connsiteY4" fmla="*/ 347623 h 347623"/>
            <a:gd name="connsiteX0" fmla="*/ 186813 w 188240"/>
            <a:gd name="connsiteY0" fmla="*/ 456 h 347623"/>
            <a:gd name="connsiteX1" fmla="*/ 111123 w 188240"/>
            <a:gd name="connsiteY1" fmla="*/ 41037 h 347623"/>
            <a:gd name="connsiteX2" fmla="*/ 131058 w 188240"/>
            <a:gd name="connsiteY2" fmla="*/ 139997 h 347623"/>
            <a:gd name="connsiteX3" fmla="*/ 109538 w 188240"/>
            <a:gd name="connsiteY3" fmla="*/ 238086 h 347623"/>
            <a:gd name="connsiteX4" fmla="*/ 0 w 188240"/>
            <a:gd name="connsiteY4" fmla="*/ 347623 h 347623"/>
            <a:gd name="connsiteX0" fmla="*/ 181774 w 183272"/>
            <a:gd name="connsiteY0" fmla="*/ 4084 h 318829"/>
            <a:gd name="connsiteX1" fmla="*/ 111123 w 183272"/>
            <a:gd name="connsiteY1" fmla="*/ 12243 h 318829"/>
            <a:gd name="connsiteX2" fmla="*/ 131058 w 183272"/>
            <a:gd name="connsiteY2" fmla="*/ 111203 h 318829"/>
            <a:gd name="connsiteX3" fmla="*/ 109538 w 183272"/>
            <a:gd name="connsiteY3" fmla="*/ 209292 h 318829"/>
            <a:gd name="connsiteX4" fmla="*/ 0 w 183272"/>
            <a:gd name="connsiteY4" fmla="*/ 318829 h 318829"/>
            <a:gd name="connsiteX0" fmla="*/ 181774 w 183741"/>
            <a:gd name="connsiteY0" fmla="*/ 515 h 315260"/>
            <a:gd name="connsiteX1" fmla="*/ 131282 w 183741"/>
            <a:gd name="connsiteY1" fmla="*/ 32991 h 315260"/>
            <a:gd name="connsiteX2" fmla="*/ 131058 w 183741"/>
            <a:gd name="connsiteY2" fmla="*/ 107634 h 315260"/>
            <a:gd name="connsiteX3" fmla="*/ 109538 w 183741"/>
            <a:gd name="connsiteY3" fmla="*/ 205723 h 315260"/>
            <a:gd name="connsiteX4" fmla="*/ 0 w 183741"/>
            <a:gd name="connsiteY4" fmla="*/ 315260 h 315260"/>
            <a:gd name="connsiteX0" fmla="*/ 181774 w 183929"/>
            <a:gd name="connsiteY0" fmla="*/ 488 h 315233"/>
            <a:gd name="connsiteX1" fmla="*/ 131282 w 183929"/>
            <a:gd name="connsiteY1" fmla="*/ 32964 h 315233"/>
            <a:gd name="connsiteX2" fmla="*/ 95780 w 183929"/>
            <a:gd name="connsiteY2" fmla="*/ 99502 h 315233"/>
            <a:gd name="connsiteX3" fmla="*/ 109538 w 183929"/>
            <a:gd name="connsiteY3" fmla="*/ 205696 h 315233"/>
            <a:gd name="connsiteX4" fmla="*/ 0 w 183929"/>
            <a:gd name="connsiteY4" fmla="*/ 315233 h 315233"/>
            <a:gd name="connsiteX0" fmla="*/ 161615 w 164632"/>
            <a:gd name="connsiteY0" fmla="*/ 11449 h 285667"/>
            <a:gd name="connsiteX1" fmla="*/ 131282 w 164632"/>
            <a:gd name="connsiteY1" fmla="*/ 3398 h 285667"/>
            <a:gd name="connsiteX2" fmla="*/ 95780 w 164632"/>
            <a:gd name="connsiteY2" fmla="*/ 69936 h 285667"/>
            <a:gd name="connsiteX3" fmla="*/ 109538 w 164632"/>
            <a:gd name="connsiteY3" fmla="*/ 176130 h 285667"/>
            <a:gd name="connsiteX4" fmla="*/ 0 w 164632"/>
            <a:gd name="connsiteY4" fmla="*/ 285667 h 285667"/>
            <a:gd name="connsiteX0" fmla="*/ 66134 w 99256"/>
            <a:gd name="connsiteY0" fmla="*/ 11447 h 285665"/>
            <a:gd name="connsiteX1" fmla="*/ 35801 w 99256"/>
            <a:gd name="connsiteY1" fmla="*/ 3396 h 285665"/>
            <a:gd name="connsiteX2" fmla="*/ 299 w 99256"/>
            <a:gd name="connsiteY2" fmla="*/ 69934 h 285665"/>
            <a:gd name="connsiteX3" fmla="*/ 14057 w 99256"/>
            <a:gd name="connsiteY3" fmla="*/ 176128 h 285665"/>
            <a:gd name="connsiteX4" fmla="*/ 85951 w 99256"/>
            <a:gd name="connsiteY4" fmla="*/ 285665 h 285665"/>
            <a:gd name="connsiteX0" fmla="*/ 0 w 154077"/>
            <a:gd name="connsiteY0" fmla="*/ 681 h 307321"/>
            <a:gd name="connsiteX1" fmla="*/ 90622 w 154077"/>
            <a:gd name="connsiteY1" fmla="*/ 25052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681 h 307321"/>
            <a:gd name="connsiteX1" fmla="*/ 45264 w 154077"/>
            <a:gd name="connsiteY1" fmla="*/ 25053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1178 h 307818"/>
            <a:gd name="connsiteX1" fmla="*/ 45264 w 154077"/>
            <a:gd name="connsiteY1" fmla="*/ 25550 h 307818"/>
            <a:gd name="connsiteX2" fmla="*/ 29921 w 154077"/>
            <a:gd name="connsiteY2" fmla="*/ 140720 h 307818"/>
            <a:gd name="connsiteX3" fmla="*/ 68878 w 154077"/>
            <a:gd name="connsiteY3" fmla="*/ 198281 h 307818"/>
            <a:gd name="connsiteX4" fmla="*/ 140772 w 154077"/>
            <a:gd name="connsiteY4" fmla="*/ 307818 h 307818"/>
            <a:gd name="connsiteX0" fmla="*/ 0 w 144793"/>
            <a:gd name="connsiteY0" fmla="*/ 1178 h 242973"/>
            <a:gd name="connsiteX1" fmla="*/ 45264 w 144793"/>
            <a:gd name="connsiteY1" fmla="*/ 25550 h 242973"/>
            <a:gd name="connsiteX2" fmla="*/ 29921 w 144793"/>
            <a:gd name="connsiteY2" fmla="*/ 140720 h 242973"/>
            <a:gd name="connsiteX3" fmla="*/ 68878 w 144793"/>
            <a:gd name="connsiteY3" fmla="*/ 198281 h 242973"/>
            <a:gd name="connsiteX4" fmla="*/ 130692 w 144793"/>
            <a:gd name="connsiteY4" fmla="*/ 242973 h 2429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4793" h="242973">
              <a:moveTo>
                <a:pt x="0" y="1178"/>
              </a:moveTo>
              <a:cubicBezTo>
                <a:pt x="12961" y="-2676"/>
                <a:pt x="40277" y="2293"/>
                <a:pt x="45264" y="25550"/>
              </a:cubicBezTo>
              <a:cubicBezTo>
                <a:pt x="50251" y="48807"/>
                <a:pt x="25985" y="111932"/>
                <a:pt x="29921" y="140720"/>
              </a:cubicBezTo>
              <a:cubicBezTo>
                <a:pt x="33857" y="169508"/>
                <a:pt x="82372" y="160975"/>
                <a:pt x="68878" y="198281"/>
              </a:cubicBezTo>
              <a:cubicBezTo>
                <a:pt x="55384" y="235587"/>
                <a:pt x="187048" y="209635"/>
                <a:pt x="130692" y="242973"/>
              </a:cubicBezTo>
            </a:path>
          </a:pathLst>
        </a:custGeom>
        <a:noFill/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156221</xdr:colOff>
      <xdr:row>32</xdr:row>
      <xdr:rowOff>137783</xdr:rowOff>
    </xdr:from>
    <xdr:to>
      <xdr:col>13</xdr:col>
      <xdr:colOff>469211</xdr:colOff>
      <xdr:row>34</xdr:row>
      <xdr:rowOff>5914</xdr:rowOff>
    </xdr:to>
    <xdr:sp macro="" textlink="">
      <xdr:nvSpPr>
        <xdr:cNvPr id="5" name="Freeform 1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 rot="10204607">
          <a:off x="10199381" y="6157583"/>
          <a:ext cx="312990" cy="241511"/>
        </a:xfrm>
        <a:custGeom>
          <a:avLst/>
          <a:gdLst>
            <a:gd name="connsiteX0" fmla="*/ 0 w 128716"/>
            <a:gd name="connsiteY0" fmla="*/ 0 h 257175"/>
            <a:gd name="connsiteX1" fmla="*/ 128588 w 128716"/>
            <a:gd name="connsiteY1" fmla="*/ 147638 h 257175"/>
            <a:gd name="connsiteX2" fmla="*/ 19050 w 128716"/>
            <a:gd name="connsiteY2" fmla="*/ 257175 h 257175"/>
            <a:gd name="connsiteX0" fmla="*/ 0 w 182398"/>
            <a:gd name="connsiteY0" fmla="*/ 0 h 242887"/>
            <a:gd name="connsiteX1" fmla="*/ 180975 w 182398"/>
            <a:gd name="connsiteY1" fmla="*/ 133350 h 242887"/>
            <a:gd name="connsiteX2" fmla="*/ 71437 w 182398"/>
            <a:gd name="connsiteY2" fmla="*/ 242887 h 242887"/>
            <a:gd name="connsiteX0" fmla="*/ 0 w 182398"/>
            <a:gd name="connsiteY0" fmla="*/ 0 h 242887"/>
            <a:gd name="connsiteX1" fmla="*/ 119062 w 182398"/>
            <a:gd name="connsiteY1" fmla="*/ 66675 h 242887"/>
            <a:gd name="connsiteX2" fmla="*/ 180975 w 182398"/>
            <a:gd name="connsiteY2" fmla="*/ 133350 h 242887"/>
            <a:gd name="connsiteX3" fmla="*/ 71437 w 182398"/>
            <a:gd name="connsiteY3" fmla="*/ 242887 h 242887"/>
            <a:gd name="connsiteX0" fmla="*/ 0 w 183754"/>
            <a:gd name="connsiteY0" fmla="*/ 0 h 242887"/>
            <a:gd name="connsiteX1" fmla="*/ 138112 w 183754"/>
            <a:gd name="connsiteY1" fmla="*/ 42862 h 242887"/>
            <a:gd name="connsiteX2" fmla="*/ 180975 w 183754"/>
            <a:gd name="connsiteY2" fmla="*/ 133350 h 242887"/>
            <a:gd name="connsiteX3" fmla="*/ 71437 w 183754"/>
            <a:gd name="connsiteY3" fmla="*/ 242887 h 242887"/>
            <a:gd name="connsiteX0" fmla="*/ 0 w 186493"/>
            <a:gd name="connsiteY0" fmla="*/ 0 h 242887"/>
            <a:gd name="connsiteX1" fmla="*/ 152400 w 186493"/>
            <a:gd name="connsiteY1" fmla="*/ 19050 h 242887"/>
            <a:gd name="connsiteX2" fmla="*/ 180975 w 186493"/>
            <a:gd name="connsiteY2" fmla="*/ 133350 h 242887"/>
            <a:gd name="connsiteX3" fmla="*/ 71437 w 186493"/>
            <a:gd name="connsiteY3" fmla="*/ 242887 h 242887"/>
            <a:gd name="connsiteX0" fmla="*/ 0 w 138868"/>
            <a:gd name="connsiteY0" fmla="*/ 0 h 242887"/>
            <a:gd name="connsiteX1" fmla="*/ 104775 w 138868"/>
            <a:gd name="connsiteY1" fmla="*/ 19050 h 242887"/>
            <a:gd name="connsiteX2" fmla="*/ 133350 w 138868"/>
            <a:gd name="connsiteY2" fmla="*/ 133350 h 242887"/>
            <a:gd name="connsiteX3" fmla="*/ 23812 w 138868"/>
            <a:gd name="connsiteY3" fmla="*/ 242887 h 242887"/>
            <a:gd name="connsiteX0" fmla="*/ 0 w 155533"/>
            <a:gd name="connsiteY0" fmla="*/ 0 h 237104"/>
            <a:gd name="connsiteX1" fmla="*/ 121440 w 155533"/>
            <a:gd name="connsiteY1" fmla="*/ 13267 h 237104"/>
            <a:gd name="connsiteX2" fmla="*/ 150015 w 155533"/>
            <a:gd name="connsiteY2" fmla="*/ 127567 h 237104"/>
            <a:gd name="connsiteX3" fmla="*/ 40477 w 155533"/>
            <a:gd name="connsiteY3" fmla="*/ 237104 h 237104"/>
            <a:gd name="connsiteX0" fmla="*/ 0 w 183306"/>
            <a:gd name="connsiteY0" fmla="*/ 43061 h 228117"/>
            <a:gd name="connsiteX1" fmla="*/ 149213 w 183306"/>
            <a:gd name="connsiteY1" fmla="*/ 4280 h 228117"/>
            <a:gd name="connsiteX2" fmla="*/ 177788 w 183306"/>
            <a:gd name="connsiteY2" fmla="*/ 118580 h 228117"/>
            <a:gd name="connsiteX3" fmla="*/ 68250 w 183306"/>
            <a:gd name="connsiteY3" fmla="*/ 228117 h 228117"/>
            <a:gd name="connsiteX0" fmla="*/ 0 w 181598"/>
            <a:gd name="connsiteY0" fmla="*/ 44196 h 229252"/>
            <a:gd name="connsiteX1" fmla="*/ 77768 w 181598"/>
            <a:gd name="connsiteY1" fmla="*/ 21070 h 229252"/>
            <a:gd name="connsiteX2" fmla="*/ 149213 w 181598"/>
            <a:gd name="connsiteY2" fmla="*/ 5415 h 229252"/>
            <a:gd name="connsiteX3" fmla="*/ 177788 w 181598"/>
            <a:gd name="connsiteY3" fmla="*/ 119715 h 229252"/>
            <a:gd name="connsiteX4" fmla="*/ 68250 w 181598"/>
            <a:gd name="connsiteY4" fmla="*/ 229252 h 229252"/>
            <a:gd name="connsiteX0" fmla="*/ 0 w 181598"/>
            <a:gd name="connsiteY0" fmla="*/ 48385 h 233441"/>
            <a:gd name="connsiteX1" fmla="*/ 66658 w 181598"/>
            <a:gd name="connsiteY1" fmla="*/ 7910 h 233441"/>
            <a:gd name="connsiteX2" fmla="*/ 149213 w 181598"/>
            <a:gd name="connsiteY2" fmla="*/ 9604 h 233441"/>
            <a:gd name="connsiteX3" fmla="*/ 177788 w 181598"/>
            <a:gd name="connsiteY3" fmla="*/ 123904 h 233441"/>
            <a:gd name="connsiteX4" fmla="*/ 68250 w 181598"/>
            <a:gd name="connsiteY4" fmla="*/ 233441 h 233441"/>
            <a:gd name="connsiteX0" fmla="*/ 147255 w 148055"/>
            <a:gd name="connsiteY0" fmla="*/ 63 h 428287"/>
            <a:gd name="connsiteX1" fmla="*/ 1007 w 148055"/>
            <a:gd name="connsiteY1" fmla="*/ 202756 h 428287"/>
            <a:gd name="connsiteX2" fmla="*/ 83562 w 148055"/>
            <a:gd name="connsiteY2" fmla="*/ 204450 h 428287"/>
            <a:gd name="connsiteX3" fmla="*/ 112137 w 148055"/>
            <a:gd name="connsiteY3" fmla="*/ 318750 h 428287"/>
            <a:gd name="connsiteX4" fmla="*/ 2599 w 148055"/>
            <a:gd name="connsiteY4" fmla="*/ 428287 h 428287"/>
            <a:gd name="connsiteX0" fmla="*/ 144656 w 147441"/>
            <a:gd name="connsiteY0" fmla="*/ 117 h 428341"/>
            <a:gd name="connsiteX1" fmla="*/ 111123 w 147441"/>
            <a:gd name="connsiteY1" fmla="*/ 121755 h 428341"/>
            <a:gd name="connsiteX2" fmla="*/ 80963 w 147441"/>
            <a:gd name="connsiteY2" fmla="*/ 204504 h 428341"/>
            <a:gd name="connsiteX3" fmla="*/ 109538 w 147441"/>
            <a:gd name="connsiteY3" fmla="*/ 318804 h 428341"/>
            <a:gd name="connsiteX4" fmla="*/ 0 w 147441"/>
            <a:gd name="connsiteY4" fmla="*/ 428341 h 428341"/>
            <a:gd name="connsiteX0" fmla="*/ 144656 w 147029"/>
            <a:gd name="connsiteY0" fmla="*/ 120 h 428344"/>
            <a:gd name="connsiteX1" fmla="*/ 111123 w 147029"/>
            <a:gd name="connsiteY1" fmla="*/ 121758 h 428344"/>
            <a:gd name="connsiteX2" fmla="*/ 131058 w 147029"/>
            <a:gd name="connsiteY2" fmla="*/ 220718 h 428344"/>
            <a:gd name="connsiteX3" fmla="*/ 109538 w 147029"/>
            <a:gd name="connsiteY3" fmla="*/ 318807 h 428344"/>
            <a:gd name="connsiteX4" fmla="*/ 0 w 147029"/>
            <a:gd name="connsiteY4" fmla="*/ 428344 h 428344"/>
            <a:gd name="connsiteX0" fmla="*/ 257370 w 258226"/>
            <a:gd name="connsiteY0" fmla="*/ 456 h 347623"/>
            <a:gd name="connsiteX1" fmla="*/ 111123 w 258226"/>
            <a:gd name="connsiteY1" fmla="*/ 41037 h 347623"/>
            <a:gd name="connsiteX2" fmla="*/ 131058 w 258226"/>
            <a:gd name="connsiteY2" fmla="*/ 139997 h 347623"/>
            <a:gd name="connsiteX3" fmla="*/ 109538 w 258226"/>
            <a:gd name="connsiteY3" fmla="*/ 238086 h 347623"/>
            <a:gd name="connsiteX4" fmla="*/ 0 w 258226"/>
            <a:gd name="connsiteY4" fmla="*/ 347623 h 347623"/>
            <a:gd name="connsiteX0" fmla="*/ 186813 w 188240"/>
            <a:gd name="connsiteY0" fmla="*/ 456 h 347623"/>
            <a:gd name="connsiteX1" fmla="*/ 111123 w 188240"/>
            <a:gd name="connsiteY1" fmla="*/ 41037 h 347623"/>
            <a:gd name="connsiteX2" fmla="*/ 131058 w 188240"/>
            <a:gd name="connsiteY2" fmla="*/ 139997 h 347623"/>
            <a:gd name="connsiteX3" fmla="*/ 109538 w 188240"/>
            <a:gd name="connsiteY3" fmla="*/ 238086 h 347623"/>
            <a:gd name="connsiteX4" fmla="*/ 0 w 188240"/>
            <a:gd name="connsiteY4" fmla="*/ 347623 h 347623"/>
            <a:gd name="connsiteX0" fmla="*/ 181774 w 183272"/>
            <a:gd name="connsiteY0" fmla="*/ 4084 h 318829"/>
            <a:gd name="connsiteX1" fmla="*/ 111123 w 183272"/>
            <a:gd name="connsiteY1" fmla="*/ 12243 h 318829"/>
            <a:gd name="connsiteX2" fmla="*/ 131058 w 183272"/>
            <a:gd name="connsiteY2" fmla="*/ 111203 h 318829"/>
            <a:gd name="connsiteX3" fmla="*/ 109538 w 183272"/>
            <a:gd name="connsiteY3" fmla="*/ 209292 h 318829"/>
            <a:gd name="connsiteX4" fmla="*/ 0 w 183272"/>
            <a:gd name="connsiteY4" fmla="*/ 318829 h 318829"/>
            <a:gd name="connsiteX0" fmla="*/ 181774 w 183741"/>
            <a:gd name="connsiteY0" fmla="*/ 515 h 315260"/>
            <a:gd name="connsiteX1" fmla="*/ 131282 w 183741"/>
            <a:gd name="connsiteY1" fmla="*/ 32991 h 315260"/>
            <a:gd name="connsiteX2" fmla="*/ 131058 w 183741"/>
            <a:gd name="connsiteY2" fmla="*/ 107634 h 315260"/>
            <a:gd name="connsiteX3" fmla="*/ 109538 w 183741"/>
            <a:gd name="connsiteY3" fmla="*/ 205723 h 315260"/>
            <a:gd name="connsiteX4" fmla="*/ 0 w 183741"/>
            <a:gd name="connsiteY4" fmla="*/ 315260 h 315260"/>
            <a:gd name="connsiteX0" fmla="*/ 181774 w 183929"/>
            <a:gd name="connsiteY0" fmla="*/ 488 h 315233"/>
            <a:gd name="connsiteX1" fmla="*/ 131282 w 183929"/>
            <a:gd name="connsiteY1" fmla="*/ 32964 h 315233"/>
            <a:gd name="connsiteX2" fmla="*/ 95780 w 183929"/>
            <a:gd name="connsiteY2" fmla="*/ 99502 h 315233"/>
            <a:gd name="connsiteX3" fmla="*/ 109538 w 183929"/>
            <a:gd name="connsiteY3" fmla="*/ 205696 h 315233"/>
            <a:gd name="connsiteX4" fmla="*/ 0 w 183929"/>
            <a:gd name="connsiteY4" fmla="*/ 315233 h 315233"/>
            <a:gd name="connsiteX0" fmla="*/ 161615 w 164632"/>
            <a:gd name="connsiteY0" fmla="*/ 11449 h 285667"/>
            <a:gd name="connsiteX1" fmla="*/ 131282 w 164632"/>
            <a:gd name="connsiteY1" fmla="*/ 3398 h 285667"/>
            <a:gd name="connsiteX2" fmla="*/ 95780 w 164632"/>
            <a:gd name="connsiteY2" fmla="*/ 69936 h 285667"/>
            <a:gd name="connsiteX3" fmla="*/ 109538 w 164632"/>
            <a:gd name="connsiteY3" fmla="*/ 176130 h 285667"/>
            <a:gd name="connsiteX4" fmla="*/ 0 w 164632"/>
            <a:gd name="connsiteY4" fmla="*/ 285667 h 285667"/>
            <a:gd name="connsiteX0" fmla="*/ 66134 w 99256"/>
            <a:gd name="connsiteY0" fmla="*/ 11447 h 285665"/>
            <a:gd name="connsiteX1" fmla="*/ 35801 w 99256"/>
            <a:gd name="connsiteY1" fmla="*/ 3396 h 285665"/>
            <a:gd name="connsiteX2" fmla="*/ 299 w 99256"/>
            <a:gd name="connsiteY2" fmla="*/ 69934 h 285665"/>
            <a:gd name="connsiteX3" fmla="*/ 14057 w 99256"/>
            <a:gd name="connsiteY3" fmla="*/ 176128 h 285665"/>
            <a:gd name="connsiteX4" fmla="*/ 85951 w 99256"/>
            <a:gd name="connsiteY4" fmla="*/ 285665 h 285665"/>
            <a:gd name="connsiteX0" fmla="*/ 0 w 154077"/>
            <a:gd name="connsiteY0" fmla="*/ 681 h 307321"/>
            <a:gd name="connsiteX1" fmla="*/ 90622 w 154077"/>
            <a:gd name="connsiteY1" fmla="*/ 25052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681 h 307321"/>
            <a:gd name="connsiteX1" fmla="*/ 45264 w 154077"/>
            <a:gd name="connsiteY1" fmla="*/ 25053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1178 h 307818"/>
            <a:gd name="connsiteX1" fmla="*/ 45264 w 154077"/>
            <a:gd name="connsiteY1" fmla="*/ 25550 h 307818"/>
            <a:gd name="connsiteX2" fmla="*/ 29921 w 154077"/>
            <a:gd name="connsiteY2" fmla="*/ 140720 h 307818"/>
            <a:gd name="connsiteX3" fmla="*/ 68878 w 154077"/>
            <a:gd name="connsiteY3" fmla="*/ 198281 h 307818"/>
            <a:gd name="connsiteX4" fmla="*/ 140772 w 154077"/>
            <a:gd name="connsiteY4" fmla="*/ 307818 h 307818"/>
            <a:gd name="connsiteX0" fmla="*/ 0 w 144793"/>
            <a:gd name="connsiteY0" fmla="*/ 1178 h 242973"/>
            <a:gd name="connsiteX1" fmla="*/ 45264 w 144793"/>
            <a:gd name="connsiteY1" fmla="*/ 25550 h 242973"/>
            <a:gd name="connsiteX2" fmla="*/ 29921 w 144793"/>
            <a:gd name="connsiteY2" fmla="*/ 140720 h 242973"/>
            <a:gd name="connsiteX3" fmla="*/ 68878 w 144793"/>
            <a:gd name="connsiteY3" fmla="*/ 198281 h 242973"/>
            <a:gd name="connsiteX4" fmla="*/ 130692 w 144793"/>
            <a:gd name="connsiteY4" fmla="*/ 242973 h 2429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4793" h="242973">
              <a:moveTo>
                <a:pt x="0" y="1178"/>
              </a:moveTo>
              <a:cubicBezTo>
                <a:pt x="12961" y="-2676"/>
                <a:pt x="40277" y="2293"/>
                <a:pt x="45264" y="25550"/>
              </a:cubicBezTo>
              <a:cubicBezTo>
                <a:pt x="50251" y="48807"/>
                <a:pt x="25985" y="111932"/>
                <a:pt x="29921" y="140720"/>
              </a:cubicBezTo>
              <a:cubicBezTo>
                <a:pt x="33857" y="169508"/>
                <a:pt x="82372" y="160975"/>
                <a:pt x="68878" y="198281"/>
              </a:cubicBezTo>
              <a:cubicBezTo>
                <a:pt x="55384" y="235587"/>
                <a:pt x="187048" y="209635"/>
                <a:pt x="130692" y="242973"/>
              </a:cubicBezTo>
            </a:path>
          </a:pathLst>
        </a:custGeom>
        <a:noFill/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133361</xdr:colOff>
      <xdr:row>37</xdr:row>
      <xdr:rowOff>76823</xdr:rowOff>
    </xdr:from>
    <xdr:to>
      <xdr:col>13</xdr:col>
      <xdr:colOff>446351</xdr:colOff>
      <xdr:row>38</xdr:row>
      <xdr:rowOff>127834</xdr:rowOff>
    </xdr:to>
    <xdr:sp macro="" textlink="">
      <xdr:nvSpPr>
        <xdr:cNvPr id="6" name="Freeform 14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 rot="10204607">
          <a:off x="10176521" y="7026263"/>
          <a:ext cx="312990" cy="241511"/>
        </a:xfrm>
        <a:custGeom>
          <a:avLst/>
          <a:gdLst>
            <a:gd name="connsiteX0" fmla="*/ 0 w 128716"/>
            <a:gd name="connsiteY0" fmla="*/ 0 h 257175"/>
            <a:gd name="connsiteX1" fmla="*/ 128588 w 128716"/>
            <a:gd name="connsiteY1" fmla="*/ 147638 h 257175"/>
            <a:gd name="connsiteX2" fmla="*/ 19050 w 128716"/>
            <a:gd name="connsiteY2" fmla="*/ 257175 h 257175"/>
            <a:gd name="connsiteX0" fmla="*/ 0 w 182398"/>
            <a:gd name="connsiteY0" fmla="*/ 0 h 242887"/>
            <a:gd name="connsiteX1" fmla="*/ 180975 w 182398"/>
            <a:gd name="connsiteY1" fmla="*/ 133350 h 242887"/>
            <a:gd name="connsiteX2" fmla="*/ 71437 w 182398"/>
            <a:gd name="connsiteY2" fmla="*/ 242887 h 242887"/>
            <a:gd name="connsiteX0" fmla="*/ 0 w 182398"/>
            <a:gd name="connsiteY0" fmla="*/ 0 h 242887"/>
            <a:gd name="connsiteX1" fmla="*/ 119062 w 182398"/>
            <a:gd name="connsiteY1" fmla="*/ 66675 h 242887"/>
            <a:gd name="connsiteX2" fmla="*/ 180975 w 182398"/>
            <a:gd name="connsiteY2" fmla="*/ 133350 h 242887"/>
            <a:gd name="connsiteX3" fmla="*/ 71437 w 182398"/>
            <a:gd name="connsiteY3" fmla="*/ 242887 h 242887"/>
            <a:gd name="connsiteX0" fmla="*/ 0 w 183754"/>
            <a:gd name="connsiteY0" fmla="*/ 0 h 242887"/>
            <a:gd name="connsiteX1" fmla="*/ 138112 w 183754"/>
            <a:gd name="connsiteY1" fmla="*/ 42862 h 242887"/>
            <a:gd name="connsiteX2" fmla="*/ 180975 w 183754"/>
            <a:gd name="connsiteY2" fmla="*/ 133350 h 242887"/>
            <a:gd name="connsiteX3" fmla="*/ 71437 w 183754"/>
            <a:gd name="connsiteY3" fmla="*/ 242887 h 242887"/>
            <a:gd name="connsiteX0" fmla="*/ 0 w 186493"/>
            <a:gd name="connsiteY0" fmla="*/ 0 h 242887"/>
            <a:gd name="connsiteX1" fmla="*/ 152400 w 186493"/>
            <a:gd name="connsiteY1" fmla="*/ 19050 h 242887"/>
            <a:gd name="connsiteX2" fmla="*/ 180975 w 186493"/>
            <a:gd name="connsiteY2" fmla="*/ 133350 h 242887"/>
            <a:gd name="connsiteX3" fmla="*/ 71437 w 186493"/>
            <a:gd name="connsiteY3" fmla="*/ 242887 h 242887"/>
            <a:gd name="connsiteX0" fmla="*/ 0 w 138868"/>
            <a:gd name="connsiteY0" fmla="*/ 0 h 242887"/>
            <a:gd name="connsiteX1" fmla="*/ 104775 w 138868"/>
            <a:gd name="connsiteY1" fmla="*/ 19050 h 242887"/>
            <a:gd name="connsiteX2" fmla="*/ 133350 w 138868"/>
            <a:gd name="connsiteY2" fmla="*/ 133350 h 242887"/>
            <a:gd name="connsiteX3" fmla="*/ 23812 w 138868"/>
            <a:gd name="connsiteY3" fmla="*/ 242887 h 242887"/>
            <a:gd name="connsiteX0" fmla="*/ 0 w 155533"/>
            <a:gd name="connsiteY0" fmla="*/ 0 h 237104"/>
            <a:gd name="connsiteX1" fmla="*/ 121440 w 155533"/>
            <a:gd name="connsiteY1" fmla="*/ 13267 h 237104"/>
            <a:gd name="connsiteX2" fmla="*/ 150015 w 155533"/>
            <a:gd name="connsiteY2" fmla="*/ 127567 h 237104"/>
            <a:gd name="connsiteX3" fmla="*/ 40477 w 155533"/>
            <a:gd name="connsiteY3" fmla="*/ 237104 h 237104"/>
            <a:gd name="connsiteX0" fmla="*/ 0 w 183306"/>
            <a:gd name="connsiteY0" fmla="*/ 43061 h 228117"/>
            <a:gd name="connsiteX1" fmla="*/ 149213 w 183306"/>
            <a:gd name="connsiteY1" fmla="*/ 4280 h 228117"/>
            <a:gd name="connsiteX2" fmla="*/ 177788 w 183306"/>
            <a:gd name="connsiteY2" fmla="*/ 118580 h 228117"/>
            <a:gd name="connsiteX3" fmla="*/ 68250 w 183306"/>
            <a:gd name="connsiteY3" fmla="*/ 228117 h 228117"/>
            <a:gd name="connsiteX0" fmla="*/ 0 w 181598"/>
            <a:gd name="connsiteY0" fmla="*/ 44196 h 229252"/>
            <a:gd name="connsiteX1" fmla="*/ 77768 w 181598"/>
            <a:gd name="connsiteY1" fmla="*/ 21070 h 229252"/>
            <a:gd name="connsiteX2" fmla="*/ 149213 w 181598"/>
            <a:gd name="connsiteY2" fmla="*/ 5415 h 229252"/>
            <a:gd name="connsiteX3" fmla="*/ 177788 w 181598"/>
            <a:gd name="connsiteY3" fmla="*/ 119715 h 229252"/>
            <a:gd name="connsiteX4" fmla="*/ 68250 w 181598"/>
            <a:gd name="connsiteY4" fmla="*/ 229252 h 229252"/>
            <a:gd name="connsiteX0" fmla="*/ 0 w 181598"/>
            <a:gd name="connsiteY0" fmla="*/ 48385 h 233441"/>
            <a:gd name="connsiteX1" fmla="*/ 66658 w 181598"/>
            <a:gd name="connsiteY1" fmla="*/ 7910 h 233441"/>
            <a:gd name="connsiteX2" fmla="*/ 149213 w 181598"/>
            <a:gd name="connsiteY2" fmla="*/ 9604 h 233441"/>
            <a:gd name="connsiteX3" fmla="*/ 177788 w 181598"/>
            <a:gd name="connsiteY3" fmla="*/ 123904 h 233441"/>
            <a:gd name="connsiteX4" fmla="*/ 68250 w 181598"/>
            <a:gd name="connsiteY4" fmla="*/ 233441 h 233441"/>
            <a:gd name="connsiteX0" fmla="*/ 147255 w 148055"/>
            <a:gd name="connsiteY0" fmla="*/ 63 h 428287"/>
            <a:gd name="connsiteX1" fmla="*/ 1007 w 148055"/>
            <a:gd name="connsiteY1" fmla="*/ 202756 h 428287"/>
            <a:gd name="connsiteX2" fmla="*/ 83562 w 148055"/>
            <a:gd name="connsiteY2" fmla="*/ 204450 h 428287"/>
            <a:gd name="connsiteX3" fmla="*/ 112137 w 148055"/>
            <a:gd name="connsiteY3" fmla="*/ 318750 h 428287"/>
            <a:gd name="connsiteX4" fmla="*/ 2599 w 148055"/>
            <a:gd name="connsiteY4" fmla="*/ 428287 h 428287"/>
            <a:gd name="connsiteX0" fmla="*/ 144656 w 147441"/>
            <a:gd name="connsiteY0" fmla="*/ 117 h 428341"/>
            <a:gd name="connsiteX1" fmla="*/ 111123 w 147441"/>
            <a:gd name="connsiteY1" fmla="*/ 121755 h 428341"/>
            <a:gd name="connsiteX2" fmla="*/ 80963 w 147441"/>
            <a:gd name="connsiteY2" fmla="*/ 204504 h 428341"/>
            <a:gd name="connsiteX3" fmla="*/ 109538 w 147441"/>
            <a:gd name="connsiteY3" fmla="*/ 318804 h 428341"/>
            <a:gd name="connsiteX4" fmla="*/ 0 w 147441"/>
            <a:gd name="connsiteY4" fmla="*/ 428341 h 428341"/>
            <a:gd name="connsiteX0" fmla="*/ 144656 w 147029"/>
            <a:gd name="connsiteY0" fmla="*/ 120 h 428344"/>
            <a:gd name="connsiteX1" fmla="*/ 111123 w 147029"/>
            <a:gd name="connsiteY1" fmla="*/ 121758 h 428344"/>
            <a:gd name="connsiteX2" fmla="*/ 131058 w 147029"/>
            <a:gd name="connsiteY2" fmla="*/ 220718 h 428344"/>
            <a:gd name="connsiteX3" fmla="*/ 109538 w 147029"/>
            <a:gd name="connsiteY3" fmla="*/ 318807 h 428344"/>
            <a:gd name="connsiteX4" fmla="*/ 0 w 147029"/>
            <a:gd name="connsiteY4" fmla="*/ 428344 h 428344"/>
            <a:gd name="connsiteX0" fmla="*/ 257370 w 258226"/>
            <a:gd name="connsiteY0" fmla="*/ 456 h 347623"/>
            <a:gd name="connsiteX1" fmla="*/ 111123 w 258226"/>
            <a:gd name="connsiteY1" fmla="*/ 41037 h 347623"/>
            <a:gd name="connsiteX2" fmla="*/ 131058 w 258226"/>
            <a:gd name="connsiteY2" fmla="*/ 139997 h 347623"/>
            <a:gd name="connsiteX3" fmla="*/ 109538 w 258226"/>
            <a:gd name="connsiteY3" fmla="*/ 238086 h 347623"/>
            <a:gd name="connsiteX4" fmla="*/ 0 w 258226"/>
            <a:gd name="connsiteY4" fmla="*/ 347623 h 347623"/>
            <a:gd name="connsiteX0" fmla="*/ 186813 w 188240"/>
            <a:gd name="connsiteY0" fmla="*/ 456 h 347623"/>
            <a:gd name="connsiteX1" fmla="*/ 111123 w 188240"/>
            <a:gd name="connsiteY1" fmla="*/ 41037 h 347623"/>
            <a:gd name="connsiteX2" fmla="*/ 131058 w 188240"/>
            <a:gd name="connsiteY2" fmla="*/ 139997 h 347623"/>
            <a:gd name="connsiteX3" fmla="*/ 109538 w 188240"/>
            <a:gd name="connsiteY3" fmla="*/ 238086 h 347623"/>
            <a:gd name="connsiteX4" fmla="*/ 0 w 188240"/>
            <a:gd name="connsiteY4" fmla="*/ 347623 h 347623"/>
            <a:gd name="connsiteX0" fmla="*/ 181774 w 183272"/>
            <a:gd name="connsiteY0" fmla="*/ 4084 h 318829"/>
            <a:gd name="connsiteX1" fmla="*/ 111123 w 183272"/>
            <a:gd name="connsiteY1" fmla="*/ 12243 h 318829"/>
            <a:gd name="connsiteX2" fmla="*/ 131058 w 183272"/>
            <a:gd name="connsiteY2" fmla="*/ 111203 h 318829"/>
            <a:gd name="connsiteX3" fmla="*/ 109538 w 183272"/>
            <a:gd name="connsiteY3" fmla="*/ 209292 h 318829"/>
            <a:gd name="connsiteX4" fmla="*/ 0 w 183272"/>
            <a:gd name="connsiteY4" fmla="*/ 318829 h 318829"/>
            <a:gd name="connsiteX0" fmla="*/ 181774 w 183741"/>
            <a:gd name="connsiteY0" fmla="*/ 515 h 315260"/>
            <a:gd name="connsiteX1" fmla="*/ 131282 w 183741"/>
            <a:gd name="connsiteY1" fmla="*/ 32991 h 315260"/>
            <a:gd name="connsiteX2" fmla="*/ 131058 w 183741"/>
            <a:gd name="connsiteY2" fmla="*/ 107634 h 315260"/>
            <a:gd name="connsiteX3" fmla="*/ 109538 w 183741"/>
            <a:gd name="connsiteY3" fmla="*/ 205723 h 315260"/>
            <a:gd name="connsiteX4" fmla="*/ 0 w 183741"/>
            <a:gd name="connsiteY4" fmla="*/ 315260 h 315260"/>
            <a:gd name="connsiteX0" fmla="*/ 181774 w 183929"/>
            <a:gd name="connsiteY0" fmla="*/ 488 h 315233"/>
            <a:gd name="connsiteX1" fmla="*/ 131282 w 183929"/>
            <a:gd name="connsiteY1" fmla="*/ 32964 h 315233"/>
            <a:gd name="connsiteX2" fmla="*/ 95780 w 183929"/>
            <a:gd name="connsiteY2" fmla="*/ 99502 h 315233"/>
            <a:gd name="connsiteX3" fmla="*/ 109538 w 183929"/>
            <a:gd name="connsiteY3" fmla="*/ 205696 h 315233"/>
            <a:gd name="connsiteX4" fmla="*/ 0 w 183929"/>
            <a:gd name="connsiteY4" fmla="*/ 315233 h 315233"/>
            <a:gd name="connsiteX0" fmla="*/ 161615 w 164632"/>
            <a:gd name="connsiteY0" fmla="*/ 11449 h 285667"/>
            <a:gd name="connsiteX1" fmla="*/ 131282 w 164632"/>
            <a:gd name="connsiteY1" fmla="*/ 3398 h 285667"/>
            <a:gd name="connsiteX2" fmla="*/ 95780 w 164632"/>
            <a:gd name="connsiteY2" fmla="*/ 69936 h 285667"/>
            <a:gd name="connsiteX3" fmla="*/ 109538 w 164632"/>
            <a:gd name="connsiteY3" fmla="*/ 176130 h 285667"/>
            <a:gd name="connsiteX4" fmla="*/ 0 w 164632"/>
            <a:gd name="connsiteY4" fmla="*/ 285667 h 285667"/>
            <a:gd name="connsiteX0" fmla="*/ 66134 w 99256"/>
            <a:gd name="connsiteY0" fmla="*/ 11447 h 285665"/>
            <a:gd name="connsiteX1" fmla="*/ 35801 w 99256"/>
            <a:gd name="connsiteY1" fmla="*/ 3396 h 285665"/>
            <a:gd name="connsiteX2" fmla="*/ 299 w 99256"/>
            <a:gd name="connsiteY2" fmla="*/ 69934 h 285665"/>
            <a:gd name="connsiteX3" fmla="*/ 14057 w 99256"/>
            <a:gd name="connsiteY3" fmla="*/ 176128 h 285665"/>
            <a:gd name="connsiteX4" fmla="*/ 85951 w 99256"/>
            <a:gd name="connsiteY4" fmla="*/ 285665 h 285665"/>
            <a:gd name="connsiteX0" fmla="*/ 0 w 154077"/>
            <a:gd name="connsiteY0" fmla="*/ 681 h 307321"/>
            <a:gd name="connsiteX1" fmla="*/ 90622 w 154077"/>
            <a:gd name="connsiteY1" fmla="*/ 25052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681 h 307321"/>
            <a:gd name="connsiteX1" fmla="*/ 45264 w 154077"/>
            <a:gd name="connsiteY1" fmla="*/ 25053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1178 h 307818"/>
            <a:gd name="connsiteX1" fmla="*/ 45264 w 154077"/>
            <a:gd name="connsiteY1" fmla="*/ 25550 h 307818"/>
            <a:gd name="connsiteX2" fmla="*/ 29921 w 154077"/>
            <a:gd name="connsiteY2" fmla="*/ 140720 h 307818"/>
            <a:gd name="connsiteX3" fmla="*/ 68878 w 154077"/>
            <a:gd name="connsiteY3" fmla="*/ 198281 h 307818"/>
            <a:gd name="connsiteX4" fmla="*/ 140772 w 154077"/>
            <a:gd name="connsiteY4" fmla="*/ 307818 h 307818"/>
            <a:gd name="connsiteX0" fmla="*/ 0 w 144793"/>
            <a:gd name="connsiteY0" fmla="*/ 1178 h 242973"/>
            <a:gd name="connsiteX1" fmla="*/ 45264 w 144793"/>
            <a:gd name="connsiteY1" fmla="*/ 25550 h 242973"/>
            <a:gd name="connsiteX2" fmla="*/ 29921 w 144793"/>
            <a:gd name="connsiteY2" fmla="*/ 140720 h 242973"/>
            <a:gd name="connsiteX3" fmla="*/ 68878 w 144793"/>
            <a:gd name="connsiteY3" fmla="*/ 198281 h 242973"/>
            <a:gd name="connsiteX4" fmla="*/ 130692 w 144793"/>
            <a:gd name="connsiteY4" fmla="*/ 242973 h 2429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4793" h="242973">
              <a:moveTo>
                <a:pt x="0" y="1178"/>
              </a:moveTo>
              <a:cubicBezTo>
                <a:pt x="12961" y="-2676"/>
                <a:pt x="40277" y="2293"/>
                <a:pt x="45264" y="25550"/>
              </a:cubicBezTo>
              <a:cubicBezTo>
                <a:pt x="50251" y="48807"/>
                <a:pt x="25985" y="111932"/>
                <a:pt x="29921" y="140720"/>
              </a:cubicBezTo>
              <a:cubicBezTo>
                <a:pt x="33857" y="169508"/>
                <a:pt x="82372" y="160975"/>
                <a:pt x="68878" y="198281"/>
              </a:cubicBezTo>
              <a:cubicBezTo>
                <a:pt x="55384" y="235587"/>
                <a:pt x="187048" y="209635"/>
                <a:pt x="130692" y="242973"/>
              </a:cubicBezTo>
            </a:path>
          </a:pathLst>
        </a:custGeom>
        <a:noFill/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125740</xdr:colOff>
      <xdr:row>42</xdr:row>
      <xdr:rowOff>61583</xdr:rowOff>
    </xdr:from>
    <xdr:to>
      <xdr:col>13</xdr:col>
      <xdr:colOff>438730</xdr:colOff>
      <xdr:row>43</xdr:row>
      <xdr:rowOff>112594</xdr:rowOff>
    </xdr:to>
    <xdr:sp macro="" textlink="">
      <xdr:nvSpPr>
        <xdr:cNvPr id="7" name="Freeform 1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 rot="10204607">
          <a:off x="10168900" y="7940663"/>
          <a:ext cx="312990" cy="241511"/>
        </a:xfrm>
        <a:custGeom>
          <a:avLst/>
          <a:gdLst>
            <a:gd name="connsiteX0" fmla="*/ 0 w 128716"/>
            <a:gd name="connsiteY0" fmla="*/ 0 h 257175"/>
            <a:gd name="connsiteX1" fmla="*/ 128588 w 128716"/>
            <a:gd name="connsiteY1" fmla="*/ 147638 h 257175"/>
            <a:gd name="connsiteX2" fmla="*/ 19050 w 128716"/>
            <a:gd name="connsiteY2" fmla="*/ 257175 h 257175"/>
            <a:gd name="connsiteX0" fmla="*/ 0 w 182398"/>
            <a:gd name="connsiteY0" fmla="*/ 0 h 242887"/>
            <a:gd name="connsiteX1" fmla="*/ 180975 w 182398"/>
            <a:gd name="connsiteY1" fmla="*/ 133350 h 242887"/>
            <a:gd name="connsiteX2" fmla="*/ 71437 w 182398"/>
            <a:gd name="connsiteY2" fmla="*/ 242887 h 242887"/>
            <a:gd name="connsiteX0" fmla="*/ 0 w 182398"/>
            <a:gd name="connsiteY0" fmla="*/ 0 h 242887"/>
            <a:gd name="connsiteX1" fmla="*/ 119062 w 182398"/>
            <a:gd name="connsiteY1" fmla="*/ 66675 h 242887"/>
            <a:gd name="connsiteX2" fmla="*/ 180975 w 182398"/>
            <a:gd name="connsiteY2" fmla="*/ 133350 h 242887"/>
            <a:gd name="connsiteX3" fmla="*/ 71437 w 182398"/>
            <a:gd name="connsiteY3" fmla="*/ 242887 h 242887"/>
            <a:gd name="connsiteX0" fmla="*/ 0 w 183754"/>
            <a:gd name="connsiteY0" fmla="*/ 0 h 242887"/>
            <a:gd name="connsiteX1" fmla="*/ 138112 w 183754"/>
            <a:gd name="connsiteY1" fmla="*/ 42862 h 242887"/>
            <a:gd name="connsiteX2" fmla="*/ 180975 w 183754"/>
            <a:gd name="connsiteY2" fmla="*/ 133350 h 242887"/>
            <a:gd name="connsiteX3" fmla="*/ 71437 w 183754"/>
            <a:gd name="connsiteY3" fmla="*/ 242887 h 242887"/>
            <a:gd name="connsiteX0" fmla="*/ 0 w 186493"/>
            <a:gd name="connsiteY0" fmla="*/ 0 h 242887"/>
            <a:gd name="connsiteX1" fmla="*/ 152400 w 186493"/>
            <a:gd name="connsiteY1" fmla="*/ 19050 h 242887"/>
            <a:gd name="connsiteX2" fmla="*/ 180975 w 186493"/>
            <a:gd name="connsiteY2" fmla="*/ 133350 h 242887"/>
            <a:gd name="connsiteX3" fmla="*/ 71437 w 186493"/>
            <a:gd name="connsiteY3" fmla="*/ 242887 h 242887"/>
            <a:gd name="connsiteX0" fmla="*/ 0 w 138868"/>
            <a:gd name="connsiteY0" fmla="*/ 0 h 242887"/>
            <a:gd name="connsiteX1" fmla="*/ 104775 w 138868"/>
            <a:gd name="connsiteY1" fmla="*/ 19050 h 242887"/>
            <a:gd name="connsiteX2" fmla="*/ 133350 w 138868"/>
            <a:gd name="connsiteY2" fmla="*/ 133350 h 242887"/>
            <a:gd name="connsiteX3" fmla="*/ 23812 w 138868"/>
            <a:gd name="connsiteY3" fmla="*/ 242887 h 242887"/>
            <a:gd name="connsiteX0" fmla="*/ 0 w 155533"/>
            <a:gd name="connsiteY0" fmla="*/ 0 h 237104"/>
            <a:gd name="connsiteX1" fmla="*/ 121440 w 155533"/>
            <a:gd name="connsiteY1" fmla="*/ 13267 h 237104"/>
            <a:gd name="connsiteX2" fmla="*/ 150015 w 155533"/>
            <a:gd name="connsiteY2" fmla="*/ 127567 h 237104"/>
            <a:gd name="connsiteX3" fmla="*/ 40477 w 155533"/>
            <a:gd name="connsiteY3" fmla="*/ 237104 h 237104"/>
            <a:gd name="connsiteX0" fmla="*/ 0 w 183306"/>
            <a:gd name="connsiteY0" fmla="*/ 43061 h 228117"/>
            <a:gd name="connsiteX1" fmla="*/ 149213 w 183306"/>
            <a:gd name="connsiteY1" fmla="*/ 4280 h 228117"/>
            <a:gd name="connsiteX2" fmla="*/ 177788 w 183306"/>
            <a:gd name="connsiteY2" fmla="*/ 118580 h 228117"/>
            <a:gd name="connsiteX3" fmla="*/ 68250 w 183306"/>
            <a:gd name="connsiteY3" fmla="*/ 228117 h 228117"/>
            <a:gd name="connsiteX0" fmla="*/ 0 w 181598"/>
            <a:gd name="connsiteY0" fmla="*/ 44196 h 229252"/>
            <a:gd name="connsiteX1" fmla="*/ 77768 w 181598"/>
            <a:gd name="connsiteY1" fmla="*/ 21070 h 229252"/>
            <a:gd name="connsiteX2" fmla="*/ 149213 w 181598"/>
            <a:gd name="connsiteY2" fmla="*/ 5415 h 229252"/>
            <a:gd name="connsiteX3" fmla="*/ 177788 w 181598"/>
            <a:gd name="connsiteY3" fmla="*/ 119715 h 229252"/>
            <a:gd name="connsiteX4" fmla="*/ 68250 w 181598"/>
            <a:gd name="connsiteY4" fmla="*/ 229252 h 229252"/>
            <a:gd name="connsiteX0" fmla="*/ 0 w 181598"/>
            <a:gd name="connsiteY0" fmla="*/ 48385 h 233441"/>
            <a:gd name="connsiteX1" fmla="*/ 66658 w 181598"/>
            <a:gd name="connsiteY1" fmla="*/ 7910 h 233441"/>
            <a:gd name="connsiteX2" fmla="*/ 149213 w 181598"/>
            <a:gd name="connsiteY2" fmla="*/ 9604 h 233441"/>
            <a:gd name="connsiteX3" fmla="*/ 177788 w 181598"/>
            <a:gd name="connsiteY3" fmla="*/ 123904 h 233441"/>
            <a:gd name="connsiteX4" fmla="*/ 68250 w 181598"/>
            <a:gd name="connsiteY4" fmla="*/ 233441 h 233441"/>
            <a:gd name="connsiteX0" fmla="*/ 147255 w 148055"/>
            <a:gd name="connsiteY0" fmla="*/ 63 h 428287"/>
            <a:gd name="connsiteX1" fmla="*/ 1007 w 148055"/>
            <a:gd name="connsiteY1" fmla="*/ 202756 h 428287"/>
            <a:gd name="connsiteX2" fmla="*/ 83562 w 148055"/>
            <a:gd name="connsiteY2" fmla="*/ 204450 h 428287"/>
            <a:gd name="connsiteX3" fmla="*/ 112137 w 148055"/>
            <a:gd name="connsiteY3" fmla="*/ 318750 h 428287"/>
            <a:gd name="connsiteX4" fmla="*/ 2599 w 148055"/>
            <a:gd name="connsiteY4" fmla="*/ 428287 h 428287"/>
            <a:gd name="connsiteX0" fmla="*/ 144656 w 147441"/>
            <a:gd name="connsiteY0" fmla="*/ 117 h 428341"/>
            <a:gd name="connsiteX1" fmla="*/ 111123 w 147441"/>
            <a:gd name="connsiteY1" fmla="*/ 121755 h 428341"/>
            <a:gd name="connsiteX2" fmla="*/ 80963 w 147441"/>
            <a:gd name="connsiteY2" fmla="*/ 204504 h 428341"/>
            <a:gd name="connsiteX3" fmla="*/ 109538 w 147441"/>
            <a:gd name="connsiteY3" fmla="*/ 318804 h 428341"/>
            <a:gd name="connsiteX4" fmla="*/ 0 w 147441"/>
            <a:gd name="connsiteY4" fmla="*/ 428341 h 428341"/>
            <a:gd name="connsiteX0" fmla="*/ 144656 w 147029"/>
            <a:gd name="connsiteY0" fmla="*/ 120 h 428344"/>
            <a:gd name="connsiteX1" fmla="*/ 111123 w 147029"/>
            <a:gd name="connsiteY1" fmla="*/ 121758 h 428344"/>
            <a:gd name="connsiteX2" fmla="*/ 131058 w 147029"/>
            <a:gd name="connsiteY2" fmla="*/ 220718 h 428344"/>
            <a:gd name="connsiteX3" fmla="*/ 109538 w 147029"/>
            <a:gd name="connsiteY3" fmla="*/ 318807 h 428344"/>
            <a:gd name="connsiteX4" fmla="*/ 0 w 147029"/>
            <a:gd name="connsiteY4" fmla="*/ 428344 h 428344"/>
            <a:gd name="connsiteX0" fmla="*/ 257370 w 258226"/>
            <a:gd name="connsiteY0" fmla="*/ 456 h 347623"/>
            <a:gd name="connsiteX1" fmla="*/ 111123 w 258226"/>
            <a:gd name="connsiteY1" fmla="*/ 41037 h 347623"/>
            <a:gd name="connsiteX2" fmla="*/ 131058 w 258226"/>
            <a:gd name="connsiteY2" fmla="*/ 139997 h 347623"/>
            <a:gd name="connsiteX3" fmla="*/ 109538 w 258226"/>
            <a:gd name="connsiteY3" fmla="*/ 238086 h 347623"/>
            <a:gd name="connsiteX4" fmla="*/ 0 w 258226"/>
            <a:gd name="connsiteY4" fmla="*/ 347623 h 347623"/>
            <a:gd name="connsiteX0" fmla="*/ 186813 w 188240"/>
            <a:gd name="connsiteY0" fmla="*/ 456 h 347623"/>
            <a:gd name="connsiteX1" fmla="*/ 111123 w 188240"/>
            <a:gd name="connsiteY1" fmla="*/ 41037 h 347623"/>
            <a:gd name="connsiteX2" fmla="*/ 131058 w 188240"/>
            <a:gd name="connsiteY2" fmla="*/ 139997 h 347623"/>
            <a:gd name="connsiteX3" fmla="*/ 109538 w 188240"/>
            <a:gd name="connsiteY3" fmla="*/ 238086 h 347623"/>
            <a:gd name="connsiteX4" fmla="*/ 0 w 188240"/>
            <a:gd name="connsiteY4" fmla="*/ 347623 h 347623"/>
            <a:gd name="connsiteX0" fmla="*/ 181774 w 183272"/>
            <a:gd name="connsiteY0" fmla="*/ 4084 h 318829"/>
            <a:gd name="connsiteX1" fmla="*/ 111123 w 183272"/>
            <a:gd name="connsiteY1" fmla="*/ 12243 h 318829"/>
            <a:gd name="connsiteX2" fmla="*/ 131058 w 183272"/>
            <a:gd name="connsiteY2" fmla="*/ 111203 h 318829"/>
            <a:gd name="connsiteX3" fmla="*/ 109538 w 183272"/>
            <a:gd name="connsiteY3" fmla="*/ 209292 h 318829"/>
            <a:gd name="connsiteX4" fmla="*/ 0 w 183272"/>
            <a:gd name="connsiteY4" fmla="*/ 318829 h 318829"/>
            <a:gd name="connsiteX0" fmla="*/ 181774 w 183741"/>
            <a:gd name="connsiteY0" fmla="*/ 515 h 315260"/>
            <a:gd name="connsiteX1" fmla="*/ 131282 w 183741"/>
            <a:gd name="connsiteY1" fmla="*/ 32991 h 315260"/>
            <a:gd name="connsiteX2" fmla="*/ 131058 w 183741"/>
            <a:gd name="connsiteY2" fmla="*/ 107634 h 315260"/>
            <a:gd name="connsiteX3" fmla="*/ 109538 w 183741"/>
            <a:gd name="connsiteY3" fmla="*/ 205723 h 315260"/>
            <a:gd name="connsiteX4" fmla="*/ 0 w 183741"/>
            <a:gd name="connsiteY4" fmla="*/ 315260 h 315260"/>
            <a:gd name="connsiteX0" fmla="*/ 181774 w 183929"/>
            <a:gd name="connsiteY0" fmla="*/ 488 h 315233"/>
            <a:gd name="connsiteX1" fmla="*/ 131282 w 183929"/>
            <a:gd name="connsiteY1" fmla="*/ 32964 h 315233"/>
            <a:gd name="connsiteX2" fmla="*/ 95780 w 183929"/>
            <a:gd name="connsiteY2" fmla="*/ 99502 h 315233"/>
            <a:gd name="connsiteX3" fmla="*/ 109538 w 183929"/>
            <a:gd name="connsiteY3" fmla="*/ 205696 h 315233"/>
            <a:gd name="connsiteX4" fmla="*/ 0 w 183929"/>
            <a:gd name="connsiteY4" fmla="*/ 315233 h 315233"/>
            <a:gd name="connsiteX0" fmla="*/ 161615 w 164632"/>
            <a:gd name="connsiteY0" fmla="*/ 11449 h 285667"/>
            <a:gd name="connsiteX1" fmla="*/ 131282 w 164632"/>
            <a:gd name="connsiteY1" fmla="*/ 3398 h 285667"/>
            <a:gd name="connsiteX2" fmla="*/ 95780 w 164632"/>
            <a:gd name="connsiteY2" fmla="*/ 69936 h 285667"/>
            <a:gd name="connsiteX3" fmla="*/ 109538 w 164632"/>
            <a:gd name="connsiteY3" fmla="*/ 176130 h 285667"/>
            <a:gd name="connsiteX4" fmla="*/ 0 w 164632"/>
            <a:gd name="connsiteY4" fmla="*/ 285667 h 285667"/>
            <a:gd name="connsiteX0" fmla="*/ 66134 w 99256"/>
            <a:gd name="connsiteY0" fmla="*/ 11447 h 285665"/>
            <a:gd name="connsiteX1" fmla="*/ 35801 w 99256"/>
            <a:gd name="connsiteY1" fmla="*/ 3396 h 285665"/>
            <a:gd name="connsiteX2" fmla="*/ 299 w 99256"/>
            <a:gd name="connsiteY2" fmla="*/ 69934 h 285665"/>
            <a:gd name="connsiteX3" fmla="*/ 14057 w 99256"/>
            <a:gd name="connsiteY3" fmla="*/ 176128 h 285665"/>
            <a:gd name="connsiteX4" fmla="*/ 85951 w 99256"/>
            <a:gd name="connsiteY4" fmla="*/ 285665 h 285665"/>
            <a:gd name="connsiteX0" fmla="*/ 0 w 154077"/>
            <a:gd name="connsiteY0" fmla="*/ 681 h 307321"/>
            <a:gd name="connsiteX1" fmla="*/ 90622 w 154077"/>
            <a:gd name="connsiteY1" fmla="*/ 25052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681 h 307321"/>
            <a:gd name="connsiteX1" fmla="*/ 45264 w 154077"/>
            <a:gd name="connsiteY1" fmla="*/ 25053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1178 h 307818"/>
            <a:gd name="connsiteX1" fmla="*/ 45264 w 154077"/>
            <a:gd name="connsiteY1" fmla="*/ 25550 h 307818"/>
            <a:gd name="connsiteX2" fmla="*/ 29921 w 154077"/>
            <a:gd name="connsiteY2" fmla="*/ 140720 h 307818"/>
            <a:gd name="connsiteX3" fmla="*/ 68878 w 154077"/>
            <a:gd name="connsiteY3" fmla="*/ 198281 h 307818"/>
            <a:gd name="connsiteX4" fmla="*/ 140772 w 154077"/>
            <a:gd name="connsiteY4" fmla="*/ 307818 h 307818"/>
            <a:gd name="connsiteX0" fmla="*/ 0 w 144793"/>
            <a:gd name="connsiteY0" fmla="*/ 1178 h 242973"/>
            <a:gd name="connsiteX1" fmla="*/ 45264 w 144793"/>
            <a:gd name="connsiteY1" fmla="*/ 25550 h 242973"/>
            <a:gd name="connsiteX2" fmla="*/ 29921 w 144793"/>
            <a:gd name="connsiteY2" fmla="*/ 140720 h 242973"/>
            <a:gd name="connsiteX3" fmla="*/ 68878 w 144793"/>
            <a:gd name="connsiteY3" fmla="*/ 198281 h 242973"/>
            <a:gd name="connsiteX4" fmla="*/ 130692 w 144793"/>
            <a:gd name="connsiteY4" fmla="*/ 242973 h 2429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4793" h="242973">
              <a:moveTo>
                <a:pt x="0" y="1178"/>
              </a:moveTo>
              <a:cubicBezTo>
                <a:pt x="12961" y="-2676"/>
                <a:pt x="40277" y="2293"/>
                <a:pt x="45264" y="25550"/>
              </a:cubicBezTo>
              <a:cubicBezTo>
                <a:pt x="50251" y="48807"/>
                <a:pt x="25985" y="111932"/>
                <a:pt x="29921" y="140720"/>
              </a:cubicBezTo>
              <a:cubicBezTo>
                <a:pt x="33857" y="169508"/>
                <a:pt x="82372" y="160975"/>
                <a:pt x="68878" y="198281"/>
              </a:cubicBezTo>
              <a:cubicBezTo>
                <a:pt x="55384" y="235587"/>
                <a:pt x="187048" y="209635"/>
                <a:pt x="130692" y="242973"/>
              </a:cubicBezTo>
            </a:path>
          </a:pathLst>
        </a:custGeom>
        <a:noFill/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14</xdr:col>
      <xdr:colOff>0</xdr:colOff>
      <xdr:row>43</xdr:row>
      <xdr:rowOff>0</xdr:rowOff>
    </xdr:from>
    <xdr:to>
      <xdr:col>15</xdr:col>
      <xdr:colOff>7620</xdr:colOff>
      <xdr:row>44</xdr:row>
      <xdr:rowOff>7620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52760" y="8069580"/>
          <a:ext cx="61722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72400</xdr:colOff>
      <xdr:row>47</xdr:row>
      <xdr:rowOff>107304</xdr:rowOff>
    </xdr:from>
    <xdr:to>
      <xdr:col>13</xdr:col>
      <xdr:colOff>385390</xdr:colOff>
      <xdr:row>48</xdr:row>
      <xdr:rowOff>158315</xdr:rowOff>
    </xdr:to>
    <xdr:sp macro="" textlink="">
      <xdr:nvSpPr>
        <xdr:cNvPr id="9" name="Freeform 14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 rot="10204607">
          <a:off x="10115560" y="8916024"/>
          <a:ext cx="312990" cy="241511"/>
        </a:xfrm>
        <a:custGeom>
          <a:avLst/>
          <a:gdLst>
            <a:gd name="connsiteX0" fmla="*/ 0 w 128716"/>
            <a:gd name="connsiteY0" fmla="*/ 0 h 257175"/>
            <a:gd name="connsiteX1" fmla="*/ 128588 w 128716"/>
            <a:gd name="connsiteY1" fmla="*/ 147638 h 257175"/>
            <a:gd name="connsiteX2" fmla="*/ 19050 w 128716"/>
            <a:gd name="connsiteY2" fmla="*/ 257175 h 257175"/>
            <a:gd name="connsiteX0" fmla="*/ 0 w 182398"/>
            <a:gd name="connsiteY0" fmla="*/ 0 h 242887"/>
            <a:gd name="connsiteX1" fmla="*/ 180975 w 182398"/>
            <a:gd name="connsiteY1" fmla="*/ 133350 h 242887"/>
            <a:gd name="connsiteX2" fmla="*/ 71437 w 182398"/>
            <a:gd name="connsiteY2" fmla="*/ 242887 h 242887"/>
            <a:gd name="connsiteX0" fmla="*/ 0 w 182398"/>
            <a:gd name="connsiteY0" fmla="*/ 0 h 242887"/>
            <a:gd name="connsiteX1" fmla="*/ 119062 w 182398"/>
            <a:gd name="connsiteY1" fmla="*/ 66675 h 242887"/>
            <a:gd name="connsiteX2" fmla="*/ 180975 w 182398"/>
            <a:gd name="connsiteY2" fmla="*/ 133350 h 242887"/>
            <a:gd name="connsiteX3" fmla="*/ 71437 w 182398"/>
            <a:gd name="connsiteY3" fmla="*/ 242887 h 242887"/>
            <a:gd name="connsiteX0" fmla="*/ 0 w 183754"/>
            <a:gd name="connsiteY0" fmla="*/ 0 h 242887"/>
            <a:gd name="connsiteX1" fmla="*/ 138112 w 183754"/>
            <a:gd name="connsiteY1" fmla="*/ 42862 h 242887"/>
            <a:gd name="connsiteX2" fmla="*/ 180975 w 183754"/>
            <a:gd name="connsiteY2" fmla="*/ 133350 h 242887"/>
            <a:gd name="connsiteX3" fmla="*/ 71437 w 183754"/>
            <a:gd name="connsiteY3" fmla="*/ 242887 h 242887"/>
            <a:gd name="connsiteX0" fmla="*/ 0 w 186493"/>
            <a:gd name="connsiteY0" fmla="*/ 0 h 242887"/>
            <a:gd name="connsiteX1" fmla="*/ 152400 w 186493"/>
            <a:gd name="connsiteY1" fmla="*/ 19050 h 242887"/>
            <a:gd name="connsiteX2" fmla="*/ 180975 w 186493"/>
            <a:gd name="connsiteY2" fmla="*/ 133350 h 242887"/>
            <a:gd name="connsiteX3" fmla="*/ 71437 w 186493"/>
            <a:gd name="connsiteY3" fmla="*/ 242887 h 242887"/>
            <a:gd name="connsiteX0" fmla="*/ 0 w 138868"/>
            <a:gd name="connsiteY0" fmla="*/ 0 h 242887"/>
            <a:gd name="connsiteX1" fmla="*/ 104775 w 138868"/>
            <a:gd name="connsiteY1" fmla="*/ 19050 h 242887"/>
            <a:gd name="connsiteX2" fmla="*/ 133350 w 138868"/>
            <a:gd name="connsiteY2" fmla="*/ 133350 h 242887"/>
            <a:gd name="connsiteX3" fmla="*/ 23812 w 138868"/>
            <a:gd name="connsiteY3" fmla="*/ 242887 h 242887"/>
            <a:gd name="connsiteX0" fmla="*/ 0 w 155533"/>
            <a:gd name="connsiteY0" fmla="*/ 0 h 237104"/>
            <a:gd name="connsiteX1" fmla="*/ 121440 w 155533"/>
            <a:gd name="connsiteY1" fmla="*/ 13267 h 237104"/>
            <a:gd name="connsiteX2" fmla="*/ 150015 w 155533"/>
            <a:gd name="connsiteY2" fmla="*/ 127567 h 237104"/>
            <a:gd name="connsiteX3" fmla="*/ 40477 w 155533"/>
            <a:gd name="connsiteY3" fmla="*/ 237104 h 237104"/>
            <a:gd name="connsiteX0" fmla="*/ 0 w 183306"/>
            <a:gd name="connsiteY0" fmla="*/ 43061 h 228117"/>
            <a:gd name="connsiteX1" fmla="*/ 149213 w 183306"/>
            <a:gd name="connsiteY1" fmla="*/ 4280 h 228117"/>
            <a:gd name="connsiteX2" fmla="*/ 177788 w 183306"/>
            <a:gd name="connsiteY2" fmla="*/ 118580 h 228117"/>
            <a:gd name="connsiteX3" fmla="*/ 68250 w 183306"/>
            <a:gd name="connsiteY3" fmla="*/ 228117 h 228117"/>
            <a:gd name="connsiteX0" fmla="*/ 0 w 181598"/>
            <a:gd name="connsiteY0" fmla="*/ 44196 h 229252"/>
            <a:gd name="connsiteX1" fmla="*/ 77768 w 181598"/>
            <a:gd name="connsiteY1" fmla="*/ 21070 h 229252"/>
            <a:gd name="connsiteX2" fmla="*/ 149213 w 181598"/>
            <a:gd name="connsiteY2" fmla="*/ 5415 h 229252"/>
            <a:gd name="connsiteX3" fmla="*/ 177788 w 181598"/>
            <a:gd name="connsiteY3" fmla="*/ 119715 h 229252"/>
            <a:gd name="connsiteX4" fmla="*/ 68250 w 181598"/>
            <a:gd name="connsiteY4" fmla="*/ 229252 h 229252"/>
            <a:gd name="connsiteX0" fmla="*/ 0 w 181598"/>
            <a:gd name="connsiteY0" fmla="*/ 48385 h 233441"/>
            <a:gd name="connsiteX1" fmla="*/ 66658 w 181598"/>
            <a:gd name="connsiteY1" fmla="*/ 7910 h 233441"/>
            <a:gd name="connsiteX2" fmla="*/ 149213 w 181598"/>
            <a:gd name="connsiteY2" fmla="*/ 9604 h 233441"/>
            <a:gd name="connsiteX3" fmla="*/ 177788 w 181598"/>
            <a:gd name="connsiteY3" fmla="*/ 123904 h 233441"/>
            <a:gd name="connsiteX4" fmla="*/ 68250 w 181598"/>
            <a:gd name="connsiteY4" fmla="*/ 233441 h 233441"/>
            <a:gd name="connsiteX0" fmla="*/ 147255 w 148055"/>
            <a:gd name="connsiteY0" fmla="*/ 63 h 428287"/>
            <a:gd name="connsiteX1" fmla="*/ 1007 w 148055"/>
            <a:gd name="connsiteY1" fmla="*/ 202756 h 428287"/>
            <a:gd name="connsiteX2" fmla="*/ 83562 w 148055"/>
            <a:gd name="connsiteY2" fmla="*/ 204450 h 428287"/>
            <a:gd name="connsiteX3" fmla="*/ 112137 w 148055"/>
            <a:gd name="connsiteY3" fmla="*/ 318750 h 428287"/>
            <a:gd name="connsiteX4" fmla="*/ 2599 w 148055"/>
            <a:gd name="connsiteY4" fmla="*/ 428287 h 428287"/>
            <a:gd name="connsiteX0" fmla="*/ 144656 w 147441"/>
            <a:gd name="connsiteY0" fmla="*/ 117 h 428341"/>
            <a:gd name="connsiteX1" fmla="*/ 111123 w 147441"/>
            <a:gd name="connsiteY1" fmla="*/ 121755 h 428341"/>
            <a:gd name="connsiteX2" fmla="*/ 80963 w 147441"/>
            <a:gd name="connsiteY2" fmla="*/ 204504 h 428341"/>
            <a:gd name="connsiteX3" fmla="*/ 109538 w 147441"/>
            <a:gd name="connsiteY3" fmla="*/ 318804 h 428341"/>
            <a:gd name="connsiteX4" fmla="*/ 0 w 147441"/>
            <a:gd name="connsiteY4" fmla="*/ 428341 h 428341"/>
            <a:gd name="connsiteX0" fmla="*/ 144656 w 147029"/>
            <a:gd name="connsiteY0" fmla="*/ 120 h 428344"/>
            <a:gd name="connsiteX1" fmla="*/ 111123 w 147029"/>
            <a:gd name="connsiteY1" fmla="*/ 121758 h 428344"/>
            <a:gd name="connsiteX2" fmla="*/ 131058 w 147029"/>
            <a:gd name="connsiteY2" fmla="*/ 220718 h 428344"/>
            <a:gd name="connsiteX3" fmla="*/ 109538 w 147029"/>
            <a:gd name="connsiteY3" fmla="*/ 318807 h 428344"/>
            <a:gd name="connsiteX4" fmla="*/ 0 w 147029"/>
            <a:gd name="connsiteY4" fmla="*/ 428344 h 428344"/>
            <a:gd name="connsiteX0" fmla="*/ 257370 w 258226"/>
            <a:gd name="connsiteY0" fmla="*/ 456 h 347623"/>
            <a:gd name="connsiteX1" fmla="*/ 111123 w 258226"/>
            <a:gd name="connsiteY1" fmla="*/ 41037 h 347623"/>
            <a:gd name="connsiteX2" fmla="*/ 131058 w 258226"/>
            <a:gd name="connsiteY2" fmla="*/ 139997 h 347623"/>
            <a:gd name="connsiteX3" fmla="*/ 109538 w 258226"/>
            <a:gd name="connsiteY3" fmla="*/ 238086 h 347623"/>
            <a:gd name="connsiteX4" fmla="*/ 0 w 258226"/>
            <a:gd name="connsiteY4" fmla="*/ 347623 h 347623"/>
            <a:gd name="connsiteX0" fmla="*/ 186813 w 188240"/>
            <a:gd name="connsiteY0" fmla="*/ 456 h 347623"/>
            <a:gd name="connsiteX1" fmla="*/ 111123 w 188240"/>
            <a:gd name="connsiteY1" fmla="*/ 41037 h 347623"/>
            <a:gd name="connsiteX2" fmla="*/ 131058 w 188240"/>
            <a:gd name="connsiteY2" fmla="*/ 139997 h 347623"/>
            <a:gd name="connsiteX3" fmla="*/ 109538 w 188240"/>
            <a:gd name="connsiteY3" fmla="*/ 238086 h 347623"/>
            <a:gd name="connsiteX4" fmla="*/ 0 w 188240"/>
            <a:gd name="connsiteY4" fmla="*/ 347623 h 347623"/>
            <a:gd name="connsiteX0" fmla="*/ 181774 w 183272"/>
            <a:gd name="connsiteY0" fmla="*/ 4084 h 318829"/>
            <a:gd name="connsiteX1" fmla="*/ 111123 w 183272"/>
            <a:gd name="connsiteY1" fmla="*/ 12243 h 318829"/>
            <a:gd name="connsiteX2" fmla="*/ 131058 w 183272"/>
            <a:gd name="connsiteY2" fmla="*/ 111203 h 318829"/>
            <a:gd name="connsiteX3" fmla="*/ 109538 w 183272"/>
            <a:gd name="connsiteY3" fmla="*/ 209292 h 318829"/>
            <a:gd name="connsiteX4" fmla="*/ 0 w 183272"/>
            <a:gd name="connsiteY4" fmla="*/ 318829 h 318829"/>
            <a:gd name="connsiteX0" fmla="*/ 181774 w 183741"/>
            <a:gd name="connsiteY0" fmla="*/ 515 h 315260"/>
            <a:gd name="connsiteX1" fmla="*/ 131282 w 183741"/>
            <a:gd name="connsiteY1" fmla="*/ 32991 h 315260"/>
            <a:gd name="connsiteX2" fmla="*/ 131058 w 183741"/>
            <a:gd name="connsiteY2" fmla="*/ 107634 h 315260"/>
            <a:gd name="connsiteX3" fmla="*/ 109538 w 183741"/>
            <a:gd name="connsiteY3" fmla="*/ 205723 h 315260"/>
            <a:gd name="connsiteX4" fmla="*/ 0 w 183741"/>
            <a:gd name="connsiteY4" fmla="*/ 315260 h 315260"/>
            <a:gd name="connsiteX0" fmla="*/ 181774 w 183929"/>
            <a:gd name="connsiteY0" fmla="*/ 488 h 315233"/>
            <a:gd name="connsiteX1" fmla="*/ 131282 w 183929"/>
            <a:gd name="connsiteY1" fmla="*/ 32964 h 315233"/>
            <a:gd name="connsiteX2" fmla="*/ 95780 w 183929"/>
            <a:gd name="connsiteY2" fmla="*/ 99502 h 315233"/>
            <a:gd name="connsiteX3" fmla="*/ 109538 w 183929"/>
            <a:gd name="connsiteY3" fmla="*/ 205696 h 315233"/>
            <a:gd name="connsiteX4" fmla="*/ 0 w 183929"/>
            <a:gd name="connsiteY4" fmla="*/ 315233 h 315233"/>
            <a:gd name="connsiteX0" fmla="*/ 161615 w 164632"/>
            <a:gd name="connsiteY0" fmla="*/ 11449 h 285667"/>
            <a:gd name="connsiteX1" fmla="*/ 131282 w 164632"/>
            <a:gd name="connsiteY1" fmla="*/ 3398 h 285667"/>
            <a:gd name="connsiteX2" fmla="*/ 95780 w 164632"/>
            <a:gd name="connsiteY2" fmla="*/ 69936 h 285667"/>
            <a:gd name="connsiteX3" fmla="*/ 109538 w 164632"/>
            <a:gd name="connsiteY3" fmla="*/ 176130 h 285667"/>
            <a:gd name="connsiteX4" fmla="*/ 0 w 164632"/>
            <a:gd name="connsiteY4" fmla="*/ 285667 h 285667"/>
            <a:gd name="connsiteX0" fmla="*/ 66134 w 99256"/>
            <a:gd name="connsiteY0" fmla="*/ 11447 h 285665"/>
            <a:gd name="connsiteX1" fmla="*/ 35801 w 99256"/>
            <a:gd name="connsiteY1" fmla="*/ 3396 h 285665"/>
            <a:gd name="connsiteX2" fmla="*/ 299 w 99256"/>
            <a:gd name="connsiteY2" fmla="*/ 69934 h 285665"/>
            <a:gd name="connsiteX3" fmla="*/ 14057 w 99256"/>
            <a:gd name="connsiteY3" fmla="*/ 176128 h 285665"/>
            <a:gd name="connsiteX4" fmla="*/ 85951 w 99256"/>
            <a:gd name="connsiteY4" fmla="*/ 285665 h 285665"/>
            <a:gd name="connsiteX0" fmla="*/ 0 w 154077"/>
            <a:gd name="connsiteY0" fmla="*/ 681 h 307321"/>
            <a:gd name="connsiteX1" fmla="*/ 90622 w 154077"/>
            <a:gd name="connsiteY1" fmla="*/ 25052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681 h 307321"/>
            <a:gd name="connsiteX1" fmla="*/ 45264 w 154077"/>
            <a:gd name="connsiteY1" fmla="*/ 25053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1178 h 307818"/>
            <a:gd name="connsiteX1" fmla="*/ 45264 w 154077"/>
            <a:gd name="connsiteY1" fmla="*/ 25550 h 307818"/>
            <a:gd name="connsiteX2" fmla="*/ 29921 w 154077"/>
            <a:gd name="connsiteY2" fmla="*/ 140720 h 307818"/>
            <a:gd name="connsiteX3" fmla="*/ 68878 w 154077"/>
            <a:gd name="connsiteY3" fmla="*/ 198281 h 307818"/>
            <a:gd name="connsiteX4" fmla="*/ 140772 w 154077"/>
            <a:gd name="connsiteY4" fmla="*/ 307818 h 307818"/>
            <a:gd name="connsiteX0" fmla="*/ 0 w 144793"/>
            <a:gd name="connsiteY0" fmla="*/ 1178 h 242973"/>
            <a:gd name="connsiteX1" fmla="*/ 45264 w 144793"/>
            <a:gd name="connsiteY1" fmla="*/ 25550 h 242973"/>
            <a:gd name="connsiteX2" fmla="*/ 29921 w 144793"/>
            <a:gd name="connsiteY2" fmla="*/ 140720 h 242973"/>
            <a:gd name="connsiteX3" fmla="*/ 68878 w 144793"/>
            <a:gd name="connsiteY3" fmla="*/ 198281 h 242973"/>
            <a:gd name="connsiteX4" fmla="*/ 130692 w 144793"/>
            <a:gd name="connsiteY4" fmla="*/ 242973 h 2429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4793" h="242973">
              <a:moveTo>
                <a:pt x="0" y="1178"/>
              </a:moveTo>
              <a:cubicBezTo>
                <a:pt x="12961" y="-2676"/>
                <a:pt x="40277" y="2293"/>
                <a:pt x="45264" y="25550"/>
              </a:cubicBezTo>
              <a:cubicBezTo>
                <a:pt x="50251" y="48807"/>
                <a:pt x="25985" y="111932"/>
                <a:pt x="29921" y="140720"/>
              </a:cubicBezTo>
              <a:cubicBezTo>
                <a:pt x="33857" y="169508"/>
                <a:pt x="82372" y="160975"/>
                <a:pt x="68878" y="198281"/>
              </a:cubicBezTo>
              <a:cubicBezTo>
                <a:pt x="55384" y="235587"/>
                <a:pt x="187048" y="209635"/>
                <a:pt x="130692" y="242973"/>
              </a:cubicBezTo>
            </a:path>
          </a:pathLst>
        </a:custGeom>
        <a:noFill/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156221</xdr:colOff>
      <xdr:row>52</xdr:row>
      <xdr:rowOff>76824</xdr:rowOff>
    </xdr:from>
    <xdr:to>
      <xdr:col>13</xdr:col>
      <xdr:colOff>469211</xdr:colOff>
      <xdr:row>53</xdr:row>
      <xdr:rowOff>127835</xdr:rowOff>
    </xdr:to>
    <xdr:sp macro="" textlink="">
      <xdr:nvSpPr>
        <xdr:cNvPr id="10" name="Freeform 14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 rot="10204607">
          <a:off x="10199381" y="9815184"/>
          <a:ext cx="312990" cy="241511"/>
        </a:xfrm>
        <a:custGeom>
          <a:avLst/>
          <a:gdLst>
            <a:gd name="connsiteX0" fmla="*/ 0 w 128716"/>
            <a:gd name="connsiteY0" fmla="*/ 0 h 257175"/>
            <a:gd name="connsiteX1" fmla="*/ 128588 w 128716"/>
            <a:gd name="connsiteY1" fmla="*/ 147638 h 257175"/>
            <a:gd name="connsiteX2" fmla="*/ 19050 w 128716"/>
            <a:gd name="connsiteY2" fmla="*/ 257175 h 257175"/>
            <a:gd name="connsiteX0" fmla="*/ 0 w 182398"/>
            <a:gd name="connsiteY0" fmla="*/ 0 h 242887"/>
            <a:gd name="connsiteX1" fmla="*/ 180975 w 182398"/>
            <a:gd name="connsiteY1" fmla="*/ 133350 h 242887"/>
            <a:gd name="connsiteX2" fmla="*/ 71437 w 182398"/>
            <a:gd name="connsiteY2" fmla="*/ 242887 h 242887"/>
            <a:gd name="connsiteX0" fmla="*/ 0 w 182398"/>
            <a:gd name="connsiteY0" fmla="*/ 0 h 242887"/>
            <a:gd name="connsiteX1" fmla="*/ 119062 w 182398"/>
            <a:gd name="connsiteY1" fmla="*/ 66675 h 242887"/>
            <a:gd name="connsiteX2" fmla="*/ 180975 w 182398"/>
            <a:gd name="connsiteY2" fmla="*/ 133350 h 242887"/>
            <a:gd name="connsiteX3" fmla="*/ 71437 w 182398"/>
            <a:gd name="connsiteY3" fmla="*/ 242887 h 242887"/>
            <a:gd name="connsiteX0" fmla="*/ 0 w 183754"/>
            <a:gd name="connsiteY0" fmla="*/ 0 h 242887"/>
            <a:gd name="connsiteX1" fmla="*/ 138112 w 183754"/>
            <a:gd name="connsiteY1" fmla="*/ 42862 h 242887"/>
            <a:gd name="connsiteX2" fmla="*/ 180975 w 183754"/>
            <a:gd name="connsiteY2" fmla="*/ 133350 h 242887"/>
            <a:gd name="connsiteX3" fmla="*/ 71437 w 183754"/>
            <a:gd name="connsiteY3" fmla="*/ 242887 h 242887"/>
            <a:gd name="connsiteX0" fmla="*/ 0 w 186493"/>
            <a:gd name="connsiteY0" fmla="*/ 0 h 242887"/>
            <a:gd name="connsiteX1" fmla="*/ 152400 w 186493"/>
            <a:gd name="connsiteY1" fmla="*/ 19050 h 242887"/>
            <a:gd name="connsiteX2" fmla="*/ 180975 w 186493"/>
            <a:gd name="connsiteY2" fmla="*/ 133350 h 242887"/>
            <a:gd name="connsiteX3" fmla="*/ 71437 w 186493"/>
            <a:gd name="connsiteY3" fmla="*/ 242887 h 242887"/>
            <a:gd name="connsiteX0" fmla="*/ 0 w 138868"/>
            <a:gd name="connsiteY0" fmla="*/ 0 h 242887"/>
            <a:gd name="connsiteX1" fmla="*/ 104775 w 138868"/>
            <a:gd name="connsiteY1" fmla="*/ 19050 h 242887"/>
            <a:gd name="connsiteX2" fmla="*/ 133350 w 138868"/>
            <a:gd name="connsiteY2" fmla="*/ 133350 h 242887"/>
            <a:gd name="connsiteX3" fmla="*/ 23812 w 138868"/>
            <a:gd name="connsiteY3" fmla="*/ 242887 h 242887"/>
            <a:gd name="connsiteX0" fmla="*/ 0 w 155533"/>
            <a:gd name="connsiteY0" fmla="*/ 0 h 237104"/>
            <a:gd name="connsiteX1" fmla="*/ 121440 w 155533"/>
            <a:gd name="connsiteY1" fmla="*/ 13267 h 237104"/>
            <a:gd name="connsiteX2" fmla="*/ 150015 w 155533"/>
            <a:gd name="connsiteY2" fmla="*/ 127567 h 237104"/>
            <a:gd name="connsiteX3" fmla="*/ 40477 w 155533"/>
            <a:gd name="connsiteY3" fmla="*/ 237104 h 237104"/>
            <a:gd name="connsiteX0" fmla="*/ 0 w 183306"/>
            <a:gd name="connsiteY0" fmla="*/ 43061 h 228117"/>
            <a:gd name="connsiteX1" fmla="*/ 149213 w 183306"/>
            <a:gd name="connsiteY1" fmla="*/ 4280 h 228117"/>
            <a:gd name="connsiteX2" fmla="*/ 177788 w 183306"/>
            <a:gd name="connsiteY2" fmla="*/ 118580 h 228117"/>
            <a:gd name="connsiteX3" fmla="*/ 68250 w 183306"/>
            <a:gd name="connsiteY3" fmla="*/ 228117 h 228117"/>
            <a:gd name="connsiteX0" fmla="*/ 0 w 181598"/>
            <a:gd name="connsiteY0" fmla="*/ 44196 h 229252"/>
            <a:gd name="connsiteX1" fmla="*/ 77768 w 181598"/>
            <a:gd name="connsiteY1" fmla="*/ 21070 h 229252"/>
            <a:gd name="connsiteX2" fmla="*/ 149213 w 181598"/>
            <a:gd name="connsiteY2" fmla="*/ 5415 h 229252"/>
            <a:gd name="connsiteX3" fmla="*/ 177788 w 181598"/>
            <a:gd name="connsiteY3" fmla="*/ 119715 h 229252"/>
            <a:gd name="connsiteX4" fmla="*/ 68250 w 181598"/>
            <a:gd name="connsiteY4" fmla="*/ 229252 h 229252"/>
            <a:gd name="connsiteX0" fmla="*/ 0 w 181598"/>
            <a:gd name="connsiteY0" fmla="*/ 48385 h 233441"/>
            <a:gd name="connsiteX1" fmla="*/ 66658 w 181598"/>
            <a:gd name="connsiteY1" fmla="*/ 7910 h 233441"/>
            <a:gd name="connsiteX2" fmla="*/ 149213 w 181598"/>
            <a:gd name="connsiteY2" fmla="*/ 9604 h 233441"/>
            <a:gd name="connsiteX3" fmla="*/ 177788 w 181598"/>
            <a:gd name="connsiteY3" fmla="*/ 123904 h 233441"/>
            <a:gd name="connsiteX4" fmla="*/ 68250 w 181598"/>
            <a:gd name="connsiteY4" fmla="*/ 233441 h 233441"/>
            <a:gd name="connsiteX0" fmla="*/ 147255 w 148055"/>
            <a:gd name="connsiteY0" fmla="*/ 63 h 428287"/>
            <a:gd name="connsiteX1" fmla="*/ 1007 w 148055"/>
            <a:gd name="connsiteY1" fmla="*/ 202756 h 428287"/>
            <a:gd name="connsiteX2" fmla="*/ 83562 w 148055"/>
            <a:gd name="connsiteY2" fmla="*/ 204450 h 428287"/>
            <a:gd name="connsiteX3" fmla="*/ 112137 w 148055"/>
            <a:gd name="connsiteY3" fmla="*/ 318750 h 428287"/>
            <a:gd name="connsiteX4" fmla="*/ 2599 w 148055"/>
            <a:gd name="connsiteY4" fmla="*/ 428287 h 428287"/>
            <a:gd name="connsiteX0" fmla="*/ 144656 w 147441"/>
            <a:gd name="connsiteY0" fmla="*/ 117 h 428341"/>
            <a:gd name="connsiteX1" fmla="*/ 111123 w 147441"/>
            <a:gd name="connsiteY1" fmla="*/ 121755 h 428341"/>
            <a:gd name="connsiteX2" fmla="*/ 80963 w 147441"/>
            <a:gd name="connsiteY2" fmla="*/ 204504 h 428341"/>
            <a:gd name="connsiteX3" fmla="*/ 109538 w 147441"/>
            <a:gd name="connsiteY3" fmla="*/ 318804 h 428341"/>
            <a:gd name="connsiteX4" fmla="*/ 0 w 147441"/>
            <a:gd name="connsiteY4" fmla="*/ 428341 h 428341"/>
            <a:gd name="connsiteX0" fmla="*/ 144656 w 147029"/>
            <a:gd name="connsiteY0" fmla="*/ 120 h 428344"/>
            <a:gd name="connsiteX1" fmla="*/ 111123 w 147029"/>
            <a:gd name="connsiteY1" fmla="*/ 121758 h 428344"/>
            <a:gd name="connsiteX2" fmla="*/ 131058 w 147029"/>
            <a:gd name="connsiteY2" fmla="*/ 220718 h 428344"/>
            <a:gd name="connsiteX3" fmla="*/ 109538 w 147029"/>
            <a:gd name="connsiteY3" fmla="*/ 318807 h 428344"/>
            <a:gd name="connsiteX4" fmla="*/ 0 w 147029"/>
            <a:gd name="connsiteY4" fmla="*/ 428344 h 428344"/>
            <a:gd name="connsiteX0" fmla="*/ 257370 w 258226"/>
            <a:gd name="connsiteY0" fmla="*/ 456 h 347623"/>
            <a:gd name="connsiteX1" fmla="*/ 111123 w 258226"/>
            <a:gd name="connsiteY1" fmla="*/ 41037 h 347623"/>
            <a:gd name="connsiteX2" fmla="*/ 131058 w 258226"/>
            <a:gd name="connsiteY2" fmla="*/ 139997 h 347623"/>
            <a:gd name="connsiteX3" fmla="*/ 109538 w 258226"/>
            <a:gd name="connsiteY3" fmla="*/ 238086 h 347623"/>
            <a:gd name="connsiteX4" fmla="*/ 0 w 258226"/>
            <a:gd name="connsiteY4" fmla="*/ 347623 h 347623"/>
            <a:gd name="connsiteX0" fmla="*/ 186813 w 188240"/>
            <a:gd name="connsiteY0" fmla="*/ 456 h 347623"/>
            <a:gd name="connsiteX1" fmla="*/ 111123 w 188240"/>
            <a:gd name="connsiteY1" fmla="*/ 41037 h 347623"/>
            <a:gd name="connsiteX2" fmla="*/ 131058 w 188240"/>
            <a:gd name="connsiteY2" fmla="*/ 139997 h 347623"/>
            <a:gd name="connsiteX3" fmla="*/ 109538 w 188240"/>
            <a:gd name="connsiteY3" fmla="*/ 238086 h 347623"/>
            <a:gd name="connsiteX4" fmla="*/ 0 w 188240"/>
            <a:gd name="connsiteY4" fmla="*/ 347623 h 347623"/>
            <a:gd name="connsiteX0" fmla="*/ 181774 w 183272"/>
            <a:gd name="connsiteY0" fmla="*/ 4084 h 318829"/>
            <a:gd name="connsiteX1" fmla="*/ 111123 w 183272"/>
            <a:gd name="connsiteY1" fmla="*/ 12243 h 318829"/>
            <a:gd name="connsiteX2" fmla="*/ 131058 w 183272"/>
            <a:gd name="connsiteY2" fmla="*/ 111203 h 318829"/>
            <a:gd name="connsiteX3" fmla="*/ 109538 w 183272"/>
            <a:gd name="connsiteY3" fmla="*/ 209292 h 318829"/>
            <a:gd name="connsiteX4" fmla="*/ 0 w 183272"/>
            <a:gd name="connsiteY4" fmla="*/ 318829 h 318829"/>
            <a:gd name="connsiteX0" fmla="*/ 181774 w 183741"/>
            <a:gd name="connsiteY0" fmla="*/ 515 h 315260"/>
            <a:gd name="connsiteX1" fmla="*/ 131282 w 183741"/>
            <a:gd name="connsiteY1" fmla="*/ 32991 h 315260"/>
            <a:gd name="connsiteX2" fmla="*/ 131058 w 183741"/>
            <a:gd name="connsiteY2" fmla="*/ 107634 h 315260"/>
            <a:gd name="connsiteX3" fmla="*/ 109538 w 183741"/>
            <a:gd name="connsiteY3" fmla="*/ 205723 h 315260"/>
            <a:gd name="connsiteX4" fmla="*/ 0 w 183741"/>
            <a:gd name="connsiteY4" fmla="*/ 315260 h 315260"/>
            <a:gd name="connsiteX0" fmla="*/ 181774 w 183929"/>
            <a:gd name="connsiteY0" fmla="*/ 488 h 315233"/>
            <a:gd name="connsiteX1" fmla="*/ 131282 w 183929"/>
            <a:gd name="connsiteY1" fmla="*/ 32964 h 315233"/>
            <a:gd name="connsiteX2" fmla="*/ 95780 w 183929"/>
            <a:gd name="connsiteY2" fmla="*/ 99502 h 315233"/>
            <a:gd name="connsiteX3" fmla="*/ 109538 w 183929"/>
            <a:gd name="connsiteY3" fmla="*/ 205696 h 315233"/>
            <a:gd name="connsiteX4" fmla="*/ 0 w 183929"/>
            <a:gd name="connsiteY4" fmla="*/ 315233 h 315233"/>
            <a:gd name="connsiteX0" fmla="*/ 161615 w 164632"/>
            <a:gd name="connsiteY0" fmla="*/ 11449 h 285667"/>
            <a:gd name="connsiteX1" fmla="*/ 131282 w 164632"/>
            <a:gd name="connsiteY1" fmla="*/ 3398 h 285667"/>
            <a:gd name="connsiteX2" fmla="*/ 95780 w 164632"/>
            <a:gd name="connsiteY2" fmla="*/ 69936 h 285667"/>
            <a:gd name="connsiteX3" fmla="*/ 109538 w 164632"/>
            <a:gd name="connsiteY3" fmla="*/ 176130 h 285667"/>
            <a:gd name="connsiteX4" fmla="*/ 0 w 164632"/>
            <a:gd name="connsiteY4" fmla="*/ 285667 h 285667"/>
            <a:gd name="connsiteX0" fmla="*/ 66134 w 99256"/>
            <a:gd name="connsiteY0" fmla="*/ 11447 h 285665"/>
            <a:gd name="connsiteX1" fmla="*/ 35801 w 99256"/>
            <a:gd name="connsiteY1" fmla="*/ 3396 h 285665"/>
            <a:gd name="connsiteX2" fmla="*/ 299 w 99256"/>
            <a:gd name="connsiteY2" fmla="*/ 69934 h 285665"/>
            <a:gd name="connsiteX3" fmla="*/ 14057 w 99256"/>
            <a:gd name="connsiteY3" fmla="*/ 176128 h 285665"/>
            <a:gd name="connsiteX4" fmla="*/ 85951 w 99256"/>
            <a:gd name="connsiteY4" fmla="*/ 285665 h 285665"/>
            <a:gd name="connsiteX0" fmla="*/ 0 w 154077"/>
            <a:gd name="connsiteY0" fmla="*/ 681 h 307321"/>
            <a:gd name="connsiteX1" fmla="*/ 90622 w 154077"/>
            <a:gd name="connsiteY1" fmla="*/ 25052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681 h 307321"/>
            <a:gd name="connsiteX1" fmla="*/ 45264 w 154077"/>
            <a:gd name="connsiteY1" fmla="*/ 25053 h 307321"/>
            <a:gd name="connsiteX2" fmla="*/ 55120 w 154077"/>
            <a:gd name="connsiteY2" fmla="*/ 91590 h 307321"/>
            <a:gd name="connsiteX3" fmla="*/ 68878 w 154077"/>
            <a:gd name="connsiteY3" fmla="*/ 197784 h 307321"/>
            <a:gd name="connsiteX4" fmla="*/ 140772 w 154077"/>
            <a:gd name="connsiteY4" fmla="*/ 307321 h 307321"/>
            <a:gd name="connsiteX0" fmla="*/ 0 w 154077"/>
            <a:gd name="connsiteY0" fmla="*/ 1178 h 307818"/>
            <a:gd name="connsiteX1" fmla="*/ 45264 w 154077"/>
            <a:gd name="connsiteY1" fmla="*/ 25550 h 307818"/>
            <a:gd name="connsiteX2" fmla="*/ 29921 w 154077"/>
            <a:gd name="connsiteY2" fmla="*/ 140720 h 307818"/>
            <a:gd name="connsiteX3" fmla="*/ 68878 w 154077"/>
            <a:gd name="connsiteY3" fmla="*/ 198281 h 307818"/>
            <a:gd name="connsiteX4" fmla="*/ 140772 w 154077"/>
            <a:gd name="connsiteY4" fmla="*/ 307818 h 307818"/>
            <a:gd name="connsiteX0" fmla="*/ 0 w 144793"/>
            <a:gd name="connsiteY0" fmla="*/ 1178 h 242973"/>
            <a:gd name="connsiteX1" fmla="*/ 45264 w 144793"/>
            <a:gd name="connsiteY1" fmla="*/ 25550 h 242973"/>
            <a:gd name="connsiteX2" fmla="*/ 29921 w 144793"/>
            <a:gd name="connsiteY2" fmla="*/ 140720 h 242973"/>
            <a:gd name="connsiteX3" fmla="*/ 68878 w 144793"/>
            <a:gd name="connsiteY3" fmla="*/ 198281 h 242973"/>
            <a:gd name="connsiteX4" fmla="*/ 130692 w 144793"/>
            <a:gd name="connsiteY4" fmla="*/ 242973 h 2429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44793" h="242973">
              <a:moveTo>
                <a:pt x="0" y="1178"/>
              </a:moveTo>
              <a:cubicBezTo>
                <a:pt x="12961" y="-2676"/>
                <a:pt x="40277" y="2293"/>
                <a:pt x="45264" y="25550"/>
              </a:cubicBezTo>
              <a:cubicBezTo>
                <a:pt x="50251" y="48807"/>
                <a:pt x="25985" y="111932"/>
                <a:pt x="29921" y="140720"/>
              </a:cubicBezTo>
              <a:cubicBezTo>
                <a:pt x="33857" y="169508"/>
                <a:pt x="82372" y="160975"/>
                <a:pt x="68878" y="198281"/>
              </a:cubicBezTo>
              <a:cubicBezTo>
                <a:pt x="55384" y="235587"/>
                <a:pt x="187048" y="209635"/>
                <a:pt x="130692" y="242973"/>
              </a:cubicBezTo>
            </a:path>
          </a:pathLst>
        </a:custGeom>
        <a:noFill/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2913153</xdr:colOff>
      <xdr:row>38</xdr:row>
      <xdr:rowOff>25400</xdr:rowOff>
    </xdr:from>
    <xdr:to>
      <xdr:col>6</xdr:col>
      <xdr:colOff>3705132</xdr:colOff>
      <xdr:row>40</xdr:row>
      <xdr:rowOff>45443</xdr:rowOff>
    </xdr:to>
    <xdr:sp macro="" textlink="">
      <xdr:nvSpPr>
        <xdr:cNvPr id="2" name="Curved Left Arrow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rot="10555658">
          <a:off x="5034053" y="6991350"/>
          <a:ext cx="791979" cy="388343"/>
        </a:xfrm>
        <a:custGeom>
          <a:avLst/>
          <a:gdLst>
            <a:gd name="connsiteX0" fmla="*/ 0 w 847725"/>
            <a:gd name="connsiteY0" fmla="*/ 950119 h 1162050"/>
            <a:gd name="connsiteX1" fmla="*/ 211931 w 847725"/>
            <a:gd name="connsiteY1" fmla="*/ 724785 h 1162050"/>
            <a:gd name="connsiteX2" fmla="*/ 211931 w 847725"/>
            <a:gd name="connsiteY2" fmla="*/ 830750 h 1162050"/>
            <a:gd name="connsiteX3" fmla="*/ 820574 w 847725"/>
            <a:gd name="connsiteY3" fmla="*/ 528041 h 1162050"/>
            <a:gd name="connsiteX4" fmla="*/ 211931 w 847725"/>
            <a:gd name="connsiteY4" fmla="*/ 1042681 h 1162050"/>
            <a:gd name="connsiteX5" fmla="*/ 211931 w 847725"/>
            <a:gd name="connsiteY5" fmla="*/ 1148647 h 1162050"/>
            <a:gd name="connsiteX6" fmla="*/ 0 w 847725"/>
            <a:gd name="connsiteY6" fmla="*/ 950119 h 1162050"/>
            <a:gd name="connsiteX0" fmla="*/ 847725 w 847725"/>
            <a:gd name="connsiteY0" fmla="*/ 634008 h 1162050"/>
            <a:gd name="connsiteX1" fmla="*/ 0 w 847725"/>
            <a:gd name="connsiteY1" fmla="*/ 211931 h 1162050"/>
            <a:gd name="connsiteX2" fmla="*/ 0 w 847725"/>
            <a:gd name="connsiteY2" fmla="*/ 0 h 1162050"/>
            <a:gd name="connsiteX3" fmla="*/ 847725 w 847725"/>
            <a:gd name="connsiteY3" fmla="*/ 422077 h 1162050"/>
            <a:gd name="connsiteX4" fmla="*/ 847725 w 847725"/>
            <a:gd name="connsiteY4" fmla="*/ 634008 h 1162050"/>
            <a:gd name="connsiteX0" fmla="*/ 847725 w 847725"/>
            <a:gd name="connsiteY0" fmla="*/ 634008 h 1162050"/>
            <a:gd name="connsiteX1" fmla="*/ 0 w 847725"/>
            <a:gd name="connsiteY1" fmla="*/ 211931 h 1162050"/>
            <a:gd name="connsiteX2" fmla="*/ 0 w 847725"/>
            <a:gd name="connsiteY2" fmla="*/ 0 h 1162050"/>
            <a:gd name="connsiteX3" fmla="*/ 847725 w 847725"/>
            <a:gd name="connsiteY3" fmla="*/ 422077 h 1162050"/>
            <a:gd name="connsiteX4" fmla="*/ 847725 w 847725"/>
            <a:gd name="connsiteY4" fmla="*/ 634008 h 1162050"/>
            <a:gd name="connsiteX5" fmla="*/ 211931 w 847725"/>
            <a:gd name="connsiteY5" fmla="*/ 1042682 h 1162050"/>
            <a:gd name="connsiteX6" fmla="*/ 211931 w 847725"/>
            <a:gd name="connsiteY6" fmla="*/ 1148647 h 1162050"/>
            <a:gd name="connsiteX7" fmla="*/ 0 w 847725"/>
            <a:gd name="connsiteY7" fmla="*/ 950119 h 1162050"/>
            <a:gd name="connsiteX8" fmla="*/ 211931 w 847725"/>
            <a:gd name="connsiteY8" fmla="*/ 724785 h 1162050"/>
            <a:gd name="connsiteX9" fmla="*/ 211931 w 847725"/>
            <a:gd name="connsiteY9" fmla="*/ 830750 h 1162050"/>
            <a:gd name="connsiteX10" fmla="*/ 820574 w 847725"/>
            <a:gd name="connsiteY10" fmla="*/ 528041 h 1162050"/>
            <a:gd name="connsiteX0" fmla="*/ 0 w 918985"/>
            <a:gd name="connsiteY0" fmla="*/ 950119 h 1148647"/>
            <a:gd name="connsiteX1" fmla="*/ 211931 w 918985"/>
            <a:gd name="connsiteY1" fmla="*/ 724785 h 1148647"/>
            <a:gd name="connsiteX2" fmla="*/ 211931 w 918985"/>
            <a:gd name="connsiteY2" fmla="*/ 830750 h 1148647"/>
            <a:gd name="connsiteX3" fmla="*/ 820574 w 918985"/>
            <a:gd name="connsiteY3" fmla="*/ 528041 h 1148647"/>
            <a:gd name="connsiteX4" fmla="*/ 211931 w 918985"/>
            <a:gd name="connsiteY4" fmla="*/ 1042681 h 1148647"/>
            <a:gd name="connsiteX5" fmla="*/ 211931 w 918985"/>
            <a:gd name="connsiteY5" fmla="*/ 1148647 h 1148647"/>
            <a:gd name="connsiteX6" fmla="*/ 0 w 918985"/>
            <a:gd name="connsiteY6" fmla="*/ 950119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0 w 918985"/>
            <a:gd name="connsiteY2" fmla="*/ 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638175 w 918985"/>
            <a:gd name="connsiteY2" fmla="*/ 13335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5" fmla="*/ 211931 w 918985"/>
            <a:gd name="connsiteY5" fmla="*/ 1042682 h 1148647"/>
            <a:gd name="connsiteX6" fmla="*/ 211931 w 918985"/>
            <a:gd name="connsiteY6" fmla="*/ 1148647 h 1148647"/>
            <a:gd name="connsiteX7" fmla="*/ 0 w 918985"/>
            <a:gd name="connsiteY7" fmla="*/ 950119 h 1148647"/>
            <a:gd name="connsiteX8" fmla="*/ 211931 w 918985"/>
            <a:gd name="connsiteY8" fmla="*/ 724785 h 1148647"/>
            <a:gd name="connsiteX9" fmla="*/ 211931 w 918985"/>
            <a:gd name="connsiteY9" fmla="*/ 830750 h 1148647"/>
            <a:gd name="connsiteX10" fmla="*/ 820574 w 918985"/>
            <a:gd name="connsiteY10" fmla="*/ 528041 h 1148647"/>
            <a:gd name="connsiteX0" fmla="*/ 11229 w 930214"/>
            <a:gd name="connsiteY0" fmla="*/ 950119 h 1148647"/>
            <a:gd name="connsiteX1" fmla="*/ 223160 w 930214"/>
            <a:gd name="connsiteY1" fmla="*/ 724785 h 1148647"/>
            <a:gd name="connsiteX2" fmla="*/ 223160 w 930214"/>
            <a:gd name="connsiteY2" fmla="*/ 830750 h 1148647"/>
            <a:gd name="connsiteX3" fmla="*/ 831803 w 930214"/>
            <a:gd name="connsiteY3" fmla="*/ 528041 h 1148647"/>
            <a:gd name="connsiteX4" fmla="*/ 223160 w 930214"/>
            <a:gd name="connsiteY4" fmla="*/ 1042681 h 1148647"/>
            <a:gd name="connsiteX5" fmla="*/ 223160 w 930214"/>
            <a:gd name="connsiteY5" fmla="*/ 1148647 h 1148647"/>
            <a:gd name="connsiteX6" fmla="*/ 11229 w 930214"/>
            <a:gd name="connsiteY6" fmla="*/ 950119 h 1148647"/>
            <a:gd name="connsiteX0" fmla="*/ 858954 w 930214"/>
            <a:gd name="connsiteY0" fmla="*/ 634008 h 1148647"/>
            <a:gd name="connsiteX1" fmla="*/ 11229 w 930214"/>
            <a:gd name="connsiteY1" fmla="*/ 211931 h 1148647"/>
            <a:gd name="connsiteX2" fmla="*/ 11229 w 930214"/>
            <a:gd name="connsiteY2" fmla="*/ 0 h 1148647"/>
            <a:gd name="connsiteX3" fmla="*/ 858954 w 930214"/>
            <a:gd name="connsiteY3" fmla="*/ 422077 h 1148647"/>
            <a:gd name="connsiteX4" fmla="*/ 858954 w 930214"/>
            <a:gd name="connsiteY4" fmla="*/ 634008 h 1148647"/>
            <a:gd name="connsiteX0" fmla="*/ 858954 w 930214"/>
            <a:gd name="connsiteY0" fmla="*/ 634008 h 1148647"/>
            <a:gd name="connsiteX1" fmla="*/ 668454 w 930214"/>
            <a:gd name="connsiteY1" fmla="*/ 342901 h 1148647"/>
            <a:gd name="connsiteX2" fmla="*/ 11229 w 930214"/>
            <a:gd name="connsiteY2" fmla="*/ 211931 h 1148647"/>
            <a:gd name="connsiteX3" fmla="*/ 649404 w 930214"/>
            <a:gd name="connsiteY3" fmla="*/ 133350 h 1148647"/>
            <a:gd name="connsiteX4" fmla="*/ 858954 w 930214"/>
            <a:gd name="connsiteY4" fmla="*/ 422077 h 1148647"/>
            <a:gd name="connsiteX5" fmla="*/ 858954 w 930214"/>
            <a:gd name="connsiteY5" fmla="*/ 634008 h 1148647"/>
            <a:gd name="connsiteX6" fmla="*/ 223160 w 930214"/>
            <a:gd name="connsiteY6" fmla="*/ 1042682 h 1148647"/>
            <a:gd name="connsiteX7" fmla="*/ 223160 w 930214"/>
            <a:gd name="connsiteY7" fmla="*/ 1148647 h 1148647"/>
            <a:gd name="connsiteX8" fmla="*/ 11229 w 930214"/>
            <a:gd name="connsiteY8" fmla="*/ 950119 h 1148647"/>
            <a:gd name="connsiteX9" fmla="*/ 223160 w 930214"/>
            <a:gd name="connsiteY9" fmla="*/ 724785 h 1148647"/>
            <a:gd name="connsiteX10" fmla="*/ 223160 w 930214"/>
            <a:gd name="connsiteY10" fmla="*/ 830750 h 1148647"/>
            <a:gd name="connsiteX11" fmla="*/ 831803 w 930214"/>
            <a:gd name="connsiteY11" fmla="*/ 528041 h 1148647"/>
            <a:gd name="connsiteX0" fmla="*/ 0 w 918985"/>
            <a:gd name="connsiteY0" fmla="*/ 950119 h 1148647"/>
            <a:gd name="connsiteX1" fmla="*/ 211931 w 918985"/>
            <a:gd name="connsiteY1" fmla="*/ 724785 h 1148647"/>
            <a:gd name="connsiteX2" fmla="*/ 211931 w 918985"/>
            <a:gd name="connsiteY2" fmla="*/ 830750 h 1148647"/>
            <a:gd name="connsiteX3" fmla="*/ 820574 w 918985"/>
            <a:gd name="connsiteY3" fmla="*/ 528041 h 1148647"/>
            <a:gd name="connsiteX4" fmla="*/ 211931 w 918985"/>
            <a:gd name="connsiteY4" fmla="*/ 1042681 h 1148647"/>
            <a:gd name="connsiteX5" fmla="*/ 211931 w 918985"/>
            <a:gd name="connsiteY5" fmla="*/ 1148647 h 1148647"/>
            <a:gd name="connsiteX6" fmla="*/ 0 w 918985"/>
            <a:gd name="connsiteY6" fmla="*/ 950119 h 1148647"/>
            <a:gd name="connsiteX0" fmla="*/ 847725 w 918985"/>
            <a:gd name="connsiteY0" fmla="*/ 634008 h 1148647"/>
            <a:gd name="connsiteX1" fmla="*/ 0 w 918985"/>
            <a:gd name="connsiteY1" fmla="*/ 211931 h 1148647"/>
            <a:gd name="connsiteX2" fmla="*/ 0 w 918985"/>
            <a:gd name="connsiteY2" fmla="*/ 0 h 1148647"/>
            <a:gd name="connsiteX3" fmla="*/ 847725 w 918985"/>
            <a:gd name="connsiteY3" fmla="*/ 422077 h 1148647"/>
            <a:gd name="connsiteX4" fmla="*/ 847725 w 918985"/>
            <a:gd name="connsiteY4" fmla="*/ 634008 h 1148647"/>
            <a:gd name="connsiteX0" fmla="*/ 847725 w 918985"/>
            <a:gd name="connsiteY0" fmla="*/ 634008 h 1148647"/>
            <a:gd name="connsiteX1" fmla="*/ 657225 w 918985"/>
            <a:gd name="connsiteY1" fmla="*/ 342901 h 1148647"/>
            <a:gd name="connsiteX2" fmla="*/ 676275 w 918985"/>
            <a:gd name="connsiteY2" fmla="*/ 307181 h 1148647"/>
            <a:gd name="connsiteX3" fmla="*/ 638175 w 918985"/>
            <a:gd name="connsiteY3" fmla="*/ 133350 h 1148647"/>
            <a:gd name="connsiteX4" fmla="*/ 847725 w 918985"/>
            <a:gd name="connsiteY4" fmla="*/ 422077 h 1148647"/>
            <a:gd name="connsiteX5" fmla="*/ 847725 w 918985"/>
            <a:gd name="connsiteY5" fmla="*/ 634008 h 1148647"/>
            <a:gd name="connsiteX6" fmla="*/ 211931 w 918985"/>
            <a:gd name="connsiteY6" fmla="*/ 1042682 h 1148647"/>
            <a:gd name="connsiteX7" fmla="*/ 211931 w 918985"/>
            <a:gd name="connsiteY7" fmla="*/ 1148647 h 1148647"/>
            <a:gd name="connsiteX8" fmla="*/ 0 w 918985"/>
            <a:gd name="connsiteY8" fmla="*/ 950119 h 1148647"/>
            <a:gd name="connsiteX9" fmla="*/ 211931 w 918985"/>
            <a:gd name="connsiteY9" fmla="*/ 724785 h 1148647"/>
            <a:gd name="connsiteX10" fmla="*/ 211931 w 918985"/>
            <a:gd name="connsiteY10" fmla="*/ 830750 h 1148647"/>
            <a:gd name="connsiteX11" fmla="*/ 820574 w 918985"/>
            <a:gd name="connsiteY11" fmla="*/ 528041 h 1148647"/>
            <a:gd name="connsiteX0" fmla="*/ 0 w 918985"/>
            <a:gd name="connsiteY0" fmla="*/ 816769 h 1015297"/>
            <a:gd name="connsiteX1" fmla="*/ 211931 w 918985"/>
            <a:gd name="connsiteY1" fmla="*/ 591435 h 1015297"/>
            <a:gd name="connsiteX2" fmla="*/ 211931 w 918985"/>
            <a:gd name="connsiteY2" fmla="*/ 697400 h 1015297"/>
            <a:gd name="connsiteX3" fmla="*/ 820574 w 918985"/>
            <a:gd name="connsiteY3" fmla="*/ 394691 h 1015297"/>
            <a:gd name="connsiteX4" fmla="*/ 211931 w 918985"/>
            <a:gd name="connsiteY4" fmla="*/ 909331 h 1015297"/>
            <a:gd name="connsiteX5" fmla="*/ 211931 w 918985"/>
            <a:gd name="connsiteY5" fmla="*/ 1015297 h 1015297"/>
            <a:gd name="connsiteX6" fmla="*/ 0 w 918985"/>
            <a:gd name="connsiteY6" fmla="*/ 816769 h 1015297"/>
            <a:gd name="connsiteX0" fmla="*/ 847725 w 918985"/>
            <a:gd name="connsiteY0" fmla="*/ 500658 h 1015297"/>
            <a:gd name="connsiteX1" fmla="*/ 0 w 918985"/>
            <a:gd name="connsiteY1" fmla="*/ 78581 h 1015297"/>
            <a:gd name="connsiteX2" fmla="*/ 847725 w 918985"/>
            <a:gd name="connsiteY2" fmla="*/ 288727 h 1015297"/>
            <a:gd name="connsiteX3" fmla="*/ 847725 w 918985"/>
            <a:gd name="connsiteY3" fmla="*/ 500658 h 1015297"/>
            <a:gd name="connsiteX0" fmla="*/ 847725 w 918985"/>
            <a:gd name="connsiteY0" fmla="*/ 500658 h 1015297"/>
            <a:gd name="connsiteX1" fmla="*/ 657225 w 918985"/>
            <a:gd name="connsiteY1" fmla="*/ 209551 h 1015297"/>
            <a:gd name="connsiteX2" fmla="*/ 676275 w 918985"/>
            <a:gd name="connsiteY2" fmla="*/ 173831 h 1015297"/>
            <a:gd name="connsiteX3" fmla="*/ 638175 w 918985"/>
            <a:gd name="connsiteY3" fmla="*/ 0 h 1015297"/>
            <a:gd name="connsiteX4" fmla="*/ 847725 w 918985"/>
            <a:gd name="connsiteY4" fmla="*/ 288727 h 1015297"/>
            <a:gd name="connsiteX5" fmla="*/ 847725 w 918985"/>
            <a:gd name="connsiteY5" fmla="*/ 500658 h 1015297"/>
            <a:gd name="connsiteX6" fmla="*/ 211931 w 918985"/>
            <a:gd name="connsiteY6" fmla="*/ 909332 h 1015297"/>
            <a:gd name="connsiteX7" fmla="*/ 211931 w 918985"/>
            <a:gd name="connsiteY7" fmla="*/ 1015297 h 1015297"/>
            <a:gd name="connsiteX8" fmla="*/ 0 w 918985"/>
            <a:gd name="connsiteY8" fmla="*/ 816769 h 1015297"/>
            <a:gd name="connsiteX9" fmla="*/ 211931 w 918985"/>
            <a:gd name="connsiteY9" fmla="*/ 591435 h 1015297"/>
            <a:gd name="connsiteX10" fmla="*/ 211931 w 918985"/>
            <a:gd name="connsiteY10" fmla="*/ 697400 h 1015297"/>
            <a:gd name="connsiteX11" fmla="*/ 820574 w 918985"/>
            <a:gd name="connsiteY11" fmla="*/ 394691 h 1015297"/>
            <a:gd name="connsiteX0" fmla="*/ 0 w 918985"/>
            <a:gd name="connsiteY0" fmla="*/ 816769 h 1015297"/>
            <a:gd name="connsiteX1" fmla="*/ 211931 w 918985"/>
            <a:gd name="connsiteY1" fmla="*/ 591435 h 1015297"/>
            <a:gd name="connsiteX2" fmla="*/ 211931 w 918985"/>
            <a:gd name="connsiteY2" fmla="*/ 697400 h 1015297"/>
            <a:gd name="connsiteX3" fmla="*/ 820574 w 918985"/>
            <a:gd name="connsiteY3" fmla="*/ 394691 h 1015297"/>
            <a:gd name="connsiteX4" fmla="*/ 211931 w 918985"/>
            <a:gd name="connsiteY4" fmla="*/ 909331 h 1015297"/>
            <a:gd name="connsiteX5" fmla="*/ 211931 w 918985"/>
            <a:gd name="connsiteY5" fmla="*/ 1015297 h 1015297"/>
            <a:gd name="connsiteX6" fmla="*/ 0 w 918985"/>
            <a:gd name="connsiteY6" fmla="*/ 816769 h 1015297"/>
            <a:gd name="connsiteX0" fmla="*/ 847725 w 918985"/>
            <a:gd name="connsiteY0" fmla="*/ 500658 h 1015297"/>
            <a:gd name="connsiteX1" fmla="*/ 847725 w 918985"/>
            <a:gd name="connsiteY1" fmla="*/ 288727 h 1015297"/>
            <a:gd name="connsiteX2" fmla="*/ 847725 w 918985"/>
            <a:gd name="connsiteY2" fmla="*/ 500658 h 1015297"/>
            <a:gd name="connsiteX0" fmla="*/ 847725 w 918985"/>
            <a:gd name="connsiteY0" fmla="*/ 500658 h 1015297"/>
            <a:gd name="connsiteX1" fmla="*/ 657225 w 918985"/>
            <a:gd name="connsiteY1" fmla="*/ 209551 h 1015297"/>
            <a:gd name="connsiteX2" fmla="*/ 676275 w 918985"/>
            <a:gd name="connsiteY2" fmla="*/ 173831 h 1015297"/>
            <a:gd name="connsiteX3" fmla="*/ 638175 w 918985"/>
            <a:gd name="connsiteY3" fmla="*/ 0 h 1015297"/>
            <a:gd name="connsiteX4" fmla="*/ 847725 w 918985"/>
            <a:gd name="connsiteY4" fmla="*/ 288727 h 1015297"/>
            <a:gd name="connsiteX5" fmla="*/ 847725 w 918985"/>
            <a:gd name="connsiteY5" fmla="*/ 500658 h 1015297"/>
            <a:gd name="connsiteX6" fmla="*/ 211931 w 918985"/>
            <a:gd name="connsiteY6" fmla="*/ 909332 h 1015297"/>
            <a:gd name="connsiteX7" fmla="*/ 211931 w 918985"/>
            <a:gd name="connsiteY7" fmla="*/ 1015297 h 1015297"/>
            <a:gd name="connsiteX8" fmla="*/ 0 w 918985"/>
            <a:gd name="connsiteY8" fmla="*/ 816769 h 1015297"/>
            <a:gd name="connsiteX9" fmla="*/ 211931 w 918985"/>
            <a:gd name="connsiteY9" fmla="*/ 591435 h 1015297"/>
            <a:gd name="connsiteX10" fmla="*/ 211931 w 918985"/>
            <a:gd name="connsiteY10" fmla="*/ 697400 h 1015297"/>
            <a:gd name="connsiteX11" fmla="*/ 820574 w 918985"/>
            <a:gd name="connsiteY11" fmla="*/ 394691 h 1015297"/>
            <a:gd name="connsiteX0" fmla="*/ 0 w 918985"/>
            <a:gd name="connsiteY0" fmla="*/ 817643 h 1016171"/>
            <a:gd name="connsiteX1" fmla="*/ 211931 w 918985"/>
            <a:gd name="connsiteY1" fmla="*/ 592309 h 1016171"/>
            <a:gd name="connsiteX2" fmla="*/ 211931 w 918985"/>
            <a:gd name="connsiteY2" fmla="*/ 698274 h 1016171"/>
            <a:gd name="connsiteX3" fmla="*/ 820574 w 918985"/>
            <a:gd name="connsiteY3" fmla="*/ 395565 h 1016171"/>
            <a:gd name="connsiteX4" fmla="*/ 211931 w 918985"/>
            <a:gd name="connsiteY4" fmla="*/ 910205 h 1016171"/>
            <a:gd name="connsiteX5" fmla="*/ 211931 w 918985"/>
            <a:gd name="connsiteY5" fmla="*/ 1016171 h 1016171"/>
            <a:gd name="connsiteX6" fmla="*/ 0 w 918985"/>
            <a:gd name="connsiteY6" fmla="*/ 817643 h 1016171"/>
            <a:gd name="connsiteX0" fmla="*/ 847725 w 918985"/>
            <a:gd name="connsiteY0" fmla="*/ 501532 h 1016171"/>
            <a:gd name="connsiteX1" fmla="*/ 847725 w 918985"/>
            <a:gd name="connsiteY1" fmla="*/ 289601 h 1016171"/>
            <a:gd name="connsiteX2" fmla="*/ 847725 w 918985"/>
            <a:gd name="connsiteY2" fmla="*/ 501532 h 1016171"/>
            <a:gd name="connsiteX0" fmla="*/ 847725 w 918985"/>
            <a:gd name="connsiteY0" fmla="*/ 501532 h 1016171"/>
            <a:gd name="connsiteX1" fmla="*/ 657225 w 918985"/>
            <a:gd name="connsiteY1" fmla="*/ 210425 h 1016171"/>
            <a:gd name="connsiteX2" fmla="*/ 638175 w 918985"/>
            <a:gd name="connsiteY2" fmla="*/ 874 h 1016171"/>
            <a:gd name="connsiteX3" fmla="*/ 847725 w 918985"/>
            <a:gd name="connsiteY3" fmla="*/ 289601 h 1016171"/>
            <a:gd name="connsiteX4" fmla="*/ 847725 w 918985"/>
            <a:gd name="connsiteY4" fmla="*/ 501532 h 1016171"/>
            <a:gd name="connsiteX5" fmla="*/ 211931 w 918985"/>
            <a:gd name="connsiteY5" fmla="*/ 910206 h 1016171"/>
            <a:gd name="connsiteX6" fmla="*/ 211931 w 918985"/>
            <a:gd name="connsiteY6" fmla="*/ 1016171 h 1016171"/>
            <a:gd name="connsiteX7" fmla="*/ 0 w 918985"/>
            <a:gd name="connsiteY7" fmla="*/ 817643 h 1016171"/>
            <a:gd name="connsiteX8" fmla="*/ 211931 w 918985"/>
            <a:gd name="connsiteY8" fmla="*/ 592309 h 1016171"/>
            <a:gd name="connsiteX9" fmla="*/ 211931 w 918985"/>
            <a:gd name="connsiteY9" fmla="*/ 698274 h 1016171"/>
            <a:gd name="connsiteX10" fmla="*/ 820574 w 918985"/>
            <a:gd name="connsiteY10" fmla="*/ 395565 h 1016171"/>
            <a:gd name="connsiteX0" fmla="*/ 0 w 847931"/>
            <a:gd name="connsiteY0" fmla="*/ 617208 h 815736"/>
            <a:gd name="connsiteX1" fmla="*/ 211931 w 847931"/>
            <a:gd name="connsiteY1" fmla="*/ 391874 h 815736"/>
            <a:gd name="connsiteX2" fmla="*/ 211931 w 847931"/>
            <a:gd name="connsiteY2" fmla="*/ 497839 h 815736"/>
            <a:gd name="connsiteX3" fmla="*/ 820574 w 847931"/>
            <a:gd name="connsiteY3" fmla="*/ 195130 h 815736"/>
            <a:gd name="connsiteX4" fmla="*/ 211931 w 847931"/>
            <a:gd name="connsiteY4" fmla="*/ 709770 h 815736"/>
            <a:gd name="connsiteX5" fmla="*/ 211931 w 847931"/>
            <a:gd name="connsiteY5" fmla="*/ 815736 h 815736"/>
            <a:gd name="connsiteX6" fmla="*/ 0 w 847931"/>
            <a:gd name="connsiteY6" fmla="*/ 617208 h 815736"/>
            <a:gd name="connsiteX0" fmla="*/ 847725 w 847931"/>
            <a:gd name="connsiteY0" fmla="*/ 301097 h 815736"/>
            <a:gd name="connsiteX1" fmla="*/ 847725 w 847931"/>
            <a:gd name="connsiteY1" fmla="*/ 89166 h 815736"/>
            <a:gd name="connsiteX2" fmla="*/ 847725 w 847931"/>
            <a:gd name="connsiteY2" fmla="*/ 301097 h 815736"/>
            <a:gd name="connsiteX0" fmla="*/ 847725 w 847931"/>
            <a:gd name="connsiteY0" fmla="*/ 301097 h 815736"/>
            <a:gd name="connsiteX1" fmla="*/ 657225 w 847931"/>
            <a:gd name="connsiteY1" fmla="*/ 9990 h 815736"/>
            <a:gd name="connsiteX2" fmla="*/ 847725 w 847931"/>
            <a:gd name="connsiteY2" fmla="*/ 89166 h 815736"/>
            <a:gd name="connsiteX3" fmla="*/ 847725 w 847931"/>
            <a:gd name="connsiteY3" fmla="*/ 301097 h 815736"/>
            <a:gd name="connsiteX4" fmla="*/ 211931 w 847931"/>
            <a:gd name="connsiteY4" fmla="*/ 709771 h 815736"/>
            <a:gd name="connsiteX5" fmla="*/ 211931 w 847931"/>
            <a:gd name="connsiteY5" fmla="*/ 815736 h 815736"/>
            <a:gd name="connsiteX6" fmla="*/ 0 w 847931"/>
            <a:gd name="connsiteY6" fmla="*/ 617208 h 815736"/>
            <a:gd name="connsiteX7" fmla="*/ 211931 w 847931"/>
            <a:gd name="connsiteY7" fmla="*/ 391874 h 815736"/>
            <a:gd name="connsiteX8" fmla="*/ 211931 w 847931"/>
            <a:gd name="connsiteY8" fmla="*/ 497839 h 815736"/>
            <a:gd name="connsiteX9" fmla="*/ 820574 w 847931"/>
            <a:gd name="connsiteY9" fmla="*/ 195130 h 815736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3" fmla="*/ 211931 w 847931"/>
            <a:gd name="connsiteY3" fmla="*/ 620605 h 726570"/>
            <a:gd name="connsiteX4" fmla="*/ 211931 w 847931"/>
            <a:gd name="connsiteY4" fmla="*/ 726570 h 726570"/>
            <a:gd name="connsiteX5" fmla="*/ 0 w 847931"/>
            <a:gd name="connsiteY5" fmla="*/ 528042 h 726570"/>
            <a:gd name="connsiteX6" fmla="*/ 211931 w 847931"/>
            <a:gd name="connsiteY6" fmla="*/ 302708 h 726570"/>
            <a:gd name="connsiteX7" fmla="*/ 211931 w 847931"/>
            <a:gd name="connsiteY7" fmla="*/ 408673 h 726570"/>
            <a:gd name="connsiteX8" fmla="*/ 820574 w 847931"/>
            <a:gd name="connsiteY8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211931 h 726570"/>
            <a:gd name="connsiteX2" fmla="*/ 211931 w 847931"/>
            <a:gd name="connsiteY2" fmla="*/ 620605 h 726570"/>
            <a:gd name="connsiteX3" fmla="*/ 211931 w 847931"/>
            <a:gd name="connsiteY3" fmla="*/ 726570 h 726570"/>
            <a:gd name="connsiteX4" fmla="*/ 0 w 847931"/>
            <a:gd name="connsiteY4" fmla="*/ 528042 h 726570"/>
            <a:gd name="connsiteX5" fmla="*/ 211931 w 847931"/>
            <a:gd name="connsiteY5" fmla="*/ 302708 h 726570"/>
            <a:gd name="connsiteX6" fmla="*/ 211931 w 847931"/>
            <a:gd name="connsiteY6" fmla="*/ 408673 h 726570"/>
            <a:gd name="connsiteX7" fmla="*/ 820574 w 847931"/>
            <a:gd name="connsiteY7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211931 w 847931"/>
            <a:gd name="connsiteY2" fmla="*/ 620605 h 726570"/>
            <a:gd name="connsiteX3" fmla="*/ 211931 w 847931"/>
            <a:gd name="connsiteY3" fmla="*/ 726570 h 726570"/>
            <a:gd name="connsiteX4" fmla="*/ 0 w 847931"/>
            <a:gd name="connsiteY4" fmla="*/ 528042 h 726570"/>
            <a:gd name="connsiteX5" fmla="*/ 211931 w 847931"/>
            <a:gd name="connsiteY5" fmla="*/ 302708 h 726570"/>
            <a:gd name="connsiteX6" fmla="*/ 211931 w 847931"/>
            <a:gd name="connsiteY6" fmla="*/ 408673 h 726570"/>
            <a:gd name="connsiteX7" fmla="*/ 820574 w 847931"/>
            <a:gd name="connsiteY7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766763 w 847931"/>
            <a:gd name="connsiteY2" fmla="*/ 397073 h 726570"/>
            <a:gd name="connsiteX3" fmla="*/ 211931 w 847931"/>
            <a:gd name="connsiteY3" fmla="*/ 620605 h 726570"/>
            <a:gd name="connsiteX4" fmla="*/ 211931 w 847931"/>
            <a:gd name="connsiteY4" fmla="*/ 726570 h 726570"/>
            <a:gd name="connsiteX5" fmla="*/ 0 w 847931"/>
            <a:gd name="connsiteY5" fmla="*/ 528042 h 726570"/>
            <a:gd name="connsiteX6" fmla="*/ 211931 w 847931"/>
            <a:gd name="connsiteY6" fmla="*/ 302708 h 726570"/>
            <a:gd name="connsiteX7" fmla="*/ 211931 w 847931"/>
            <a:gd name="connsiteY7" fmla="*/ 408673 h 726570"/>
            <a:gd name="connsiteX8" fmla="*/ 820574 w 847931"/>
            <a:gd name="connsiteY8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7725 w 847931"/>
            <a:gd name="connsiteY1" fmla="*/ 126206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20574 w 847931"/>
            <a:gd name="connsiteY9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20574 w 847931"/>
            <a:gd name="connsiteY9" fmla="*/ 105964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39624 w 847931"/>
            <a:gd name="connsiteY9" fmla="*/ 101201 h 726570"/>
            <a:gd name="connsiteX0" fmla="*/ 0 w 953924"/>
            <a:gd name="connsiteY0" fmla="*/ 528042 h 726570"/>
            <a:gd name="connsiteX1" fmla="*/ 211931 w 953924"/>
            <a:gd name="connsiteY1" fmla="*/ 302708 h 726570"/>
            <a:gd name="connsiteX2" fmla="*/ 211931 w 953924"/>
            <a:gd name="connsiteY2" fmla="*/ 408673 h 726570"/>
            <a:gd name="connsiteX3" fmla="*/ 820574 w 953924"/>
            <a:gd name="connsiteY3" fmla="*/ 105964 h 726570"/>
            <a:gd name="connsiteX4" fmla="*/ 211931 w 953924"/>
            <a:gd name="connsiteY4" fmla="*/ 620604 h 726570"/>
            <a:gd name="connsiteX5" fmla="*/ 211931 w 953924"/>
            <a:gd name="connsiteY5" fmla="*/ 726570 h 726570"/>
            <a:gd name="connsiteX6" fmla="*/ 0 w 953924"/>
            <a:gd name="connsiteY6" fmla="*/ 528042 h 726570"/>
            <a:gd name="connsiteX0" fmla="*/ 847725 w 953924"/>
            <a:gd name="connsiteY0" fmla="*/ 211931 h 726570"/>
            <a:gd name="connsiteX1" fmla="*/ 847725 w 953924"/>
            <a:gd name="connsiteY1" fmla="*/ 0 h 726570"/>
            <a:gd name="connsiteX2" fmla="*/ 847725 w 953924"/>
            <a:gd name="connsiteY2" fmla="*/ 211931 h 726570"/>
            <a:gd name="connsiteX0" fmla="*/ 847725 w 953924"/>
            <a:gd name="connsiteY0" fmla="*/ 211931 h 726570"/>
            <a:gd name="connsiteX1" fmla="*/ 842962 w 953924"/>
            <a:gd name="connsiteY1" fmla="*/ 97631 h 726570"/>
            <a:gd name="connsiteX2" fmla="*/ 766763 w 953924"/>
            <a:gd name="connsiteY2" fmla="*/ 397073 h 726570"/>
            <a:gd name="connsiteX3" fmla="*/ 509588 w 953924"/>
            <a:gd name="connsiteY3" fmla="*/ 544711 h 726570"/>
            <a:gd name="connsiteX4" fmla="*/ 211931 w 953924"/>
            <a:gd name="connsiteY4" fmla="*/ 620605 h 726570"/>
            <a:gd name="connsiteX5" fmla="*/ 211931 w 953924"/>
            <a:gd name="connsiteY5" fmla="*/ 726570 h 726570"/>
            <a:gd name="connsiteX6" fmla="*/ 0 w 953924"/>
            <a:gd name="connsiteY6" fmla="*/ 528042 h 726570"/>
            <a:gd name="connsiteX7" fmla="*/ 211931 w 953924"/>
            <a:gd name="connsiteY7" fmla="*/ 302708 h 726570"/>
            <a:gd name="connsiteX8" fmla="*/ 211931 w 953924"/>
            <a:gd name="connsiteY8" fmla="*/ 408673 h 726570"/>
            <a:gd name="connsiteX9" fmla="*/ 953924 w 953924"/>
            <a:gd name="connsiteY9" fmla="*/ 220263 h 726570"/>
            <a:gd name="connsiteX0" fmla="*/ 0 w 847931"/>
            <a:gd name="connsiteY0" fmla="*/ 528042 h 726570"/>
            <a:gd name="connsiteX1" fmla="*/ 211931 w 847931"/>
            <a:gd name="connsiteY1" fmla="*/ 302708 h 726570"/>
            <a:gd name="connsiteX2" fmla="*/ 211931 w 847931"/>
            <a:gd name="connsiteY2" fmla="*/ 408673 h 726570"/>
            <a:gd name="connsiteX3" fmla="*/ 820574 w 847931"/>
            <a:gd name="connsiteY3" fmla="*/ 105964 h 726570"/>
            <a:gd name="connsiteX4" fmla="*/ 211931 w 847931"/>
            <a:gd name="connsiteY4" fmla="*/ 620604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0" fmla="*/ 847725 w 847931"/>
            <a:gd name="connsiteY0" fmla="*/ 211931 h 726570"/>
            <a:gd name="connsiteX1" fmla="*/ 847725 w 847931"/>
            <a:gd name="connsiteY1" fmla="*/ 0 h 726570"/>
            <a:gd name="connsiteX2" fmla="*/ 847725 w 847931"/>
            <a:gd name="connsiteY2" fmla="*/ 211931 h 726570"/>
            <a:gd name="connsiteX0" fmla="*/ 847725 w 847931"/>
            <a:gd name="connsiteY0" fmla="*/ 211931 h 726570"/>
            <a:gd name="connsiteX1" fmla="*/ 842962 w 847931"/>
            <a:gd name="connsiteY1" fmla="*/ 97631 h 726570"/>
            <a:gd name="connsiteX2" fmla="*/ 766763 w 847931"/>
            <a:gd name="connsiteY2" fmla="*/ 397073 h 726570"/>
            <a:gd name="connsiteX3" fmla="*/ 509588 w 847931"/>
            <a:gd name="connsiteY3" fmla="*/ 544711 h 726570"/>
            <a:gd name="connsiteX4" fmla="*/ 211931 w 847931"/>
            <a:gd name="connsiteY4" fmla="*/ 620605 h 726570"/>
            <a:gd name="connsiteX5" fmla="*/ 211931 w 847931"/>
            <a:gd name="connsiteY5" fmla="*/ 726570 h 726570"/>
            <a:gd name="connsiteX6" fmla="*/ 0 w 847931"/>
            <a:gd name="connsiteY6" fmla="*/ 528042 h 726570"/>
            <a:gd name="connsiteX7" fmla="*/ 211931 w 847931"/>
            <a:gd name="connsiteY7" fmla="*/ 302708 h 726570"/>
            <a:gd name="connsiteX8" fmla="*/ 211931 w 847931"/>
            <a:gd name="connsiteY8" fmla="*/ 408673 h 726570"/>
            <a:gd name="connsiteX9" fmla="*/ 830099 w 847931"/>
            <a:gd name="connsiteY9" fmla="*/ 105963 h 72657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847931" h="726570" stroke="0" extrusionOk="0">
              <a:moveTo>
                <a:pt x="0" y="528042"/>
              </a:moveTo>
              <a:lnTo>
                <a:pt x="211931" y="302708"/>
              </a:lnTo>
              <a:lnTo>
                <a:pt x="211931" y="408673"/>
              </a:lnTo>
              <a:cubicBezTo>
                <a:pt x="510211" y="370327"/>
                <a:pt x="743233" y="254434"/>
                <a:pt x="820574" y="105964"/>
              </a:cubicBezTo>
              <a:cubicBezTo>
                <a:pt x="938206" y="331779"/>
                <a:pt x="665600" y="562282"/>
                <a:pt x="211931" y="620604"/>
              </a:cubicBezTo>
              <a:lnTo>
                <a:pt x="211931" y="726570"/>
              </a:lnTo>
              <a:lnTo>
                <a:pt x="0" y="528042"/>
              </a:lnTo>
              <a:close/>
            </a:path>
            <a:path w="847931" h="726570" fill="darkenLess" stroke="0" extrusionOk="0">
              <a:moveTo>
                <a:pt x="847725" y="211931"/>
              </a:moveTo>
              <a:lnTo>
                <a:pt x="847725" y="0"/>
              </a:lnTo>
              <a:lnTo>
                <a:pt x="847725" y="211931"/>
              </a:lnTo>
              <a:close/>
            </a:path>
            <a:path w="847931" h="726570" fill="none" extrusionOk="0">
              <a:moveTo>
                <a:pt x="847725" y="211931"/>
              </a:moveTo>
              <a:lnTo>
                <a:pt x="842962" y="97631"/>
              </a:lnTo>
              <a:cubicBezTo>
                <a:pt x="823912" y="124519"/>
                <a:pt x="872729" y="314673"/>
                <a:pt x="766763" y="397073"/>
              </a:cubicBezTo>
              <a:cubicBezTo>
                <a:pt x="709613" y="462061"/>
                <a:pt x="602060" y="507456"/>
                <a:pt x="509588" y="544711"/>
              </a:cubicBezTo>
              <a:cubicBezTo>
                <a:pt x="417116" y="581966"/>
                <a:pt x="260747" y="585533"/>
                <a:pt x="211931" y="620605"/>
              </a:cubicBezTo>
              <a:lnTo>
                <a:pt x="211931" y="726570"/>
              </a:lnTo>
              <a:lnTo>
                <a:pt x="0" y="528042"/>
              </a:lnTo>
              <a:lnTo>
                <a:pt x="211931" y="302708"/>
              </a:lnTo>
              <a:lnTo>
                <a:pt x="211931" y="408673"/>
              </a:lnTo>
              <a:cubicBezTo>
                <a:pt x="510211" y="370327"/>
                <a:pt x="752758" y="254433"/>
                <a:pt x="830099" y="105963"/>
              </a:cubicBezTo>
            </a:path>
          </a:pathLst>
        </a:cu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oneCellAnchor>
    <xdr:from>
      <xdr:col>6</xdr:col>
      <xdr:colOff>1244600</xdr:colOff>
      <xdr:row>39</xdr:row>
      <xdr:rowOff>105282</xdr:rowOff>
    </xdr:from>
    <xdr:ext cx="2647135" cy="53065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3365500" y="7255382"/>
          <a:ext cx="2647135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 i="1">
              <a:solidFill>
                <a:srgbClr val="C00000"/>
              </a:solidFill>
              <a:latin typeface="+mn-lt"/>
            </a:rPr>
            <a:t>Here is the solvency score</a:t>
          </a:r>
        </a:p>
        <a:p>
          <a:r>
            <a:rPr lang="en-US" sz="1400" b="1" i="1">
              <a:solidFill>
                <a:srgbClr val="C00000"/>
              </a:solidFill>
              <a:latin typeface="+mn-lt"/>
            </a:rPr>
            <a:t>under</a:t>
          </a:r>
          <a:r>
            <a:rPr lang="en-US" sz="1400" b="1" i="1" baseline="0">
              <a:solidFill>
                <a:srgbClr val="C00000"/>
              </a:solidFill>
              <a:latin typeface="+mn-lt"/>
            </a:rPr>
            <a:t> the user selected retention</a:t>
          </a:r>
          <a:endParaRPr lang="en-US" sz="1400" b="1" i="1">
            <a:solidFill>
              <a:srgbClr val="C00000"/>
            </a:solidFill>
            <a:latin typeface="+mn-lt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93688</xdr:colOff>
      <xdr:row>15</xdr:row>
      <xdr:rowOff>296681</xdr:rowOff>
    </xdr:from>
    <xdr:to>
      <xdr:col>4</xdr:col>
      <xdr:colOff>1855812</xdr:colOff>
      <xdr:row>16</xdr:row>
      <xdr:rowOff>959215</xdr:rowOff>
    </xdr:to>
    <xdr:graphicFrame macro="">
      <xdr:nvGraphicFramePr>
        <xdr:cNvPr id="7" name="Chart 29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10</xdr:row>
      <xdr:rowOff>0</xdr:rowOff>
    </xdr:from>
    <xdr:to>
      <xdr:col>2</xdr:col>
      <xdr:colOff>1762124</xdr:colOff>
      <xdr:row>11</xdr:row>
      <xdr:rowOff>91034</xdr:rowOff>
    </xdr:to>
    <xdr:graphicFrame macro="">
      <xdr:nvGraphicFramePr>
        <xdr:cNvPr id="28" name="Chart 29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4</xdr:col>
      <xdr:colOff>1762124</xdr:colOff>
      <xdr:row>11</xdr:row>
      <xdr:rowOff>91034</xdr:rowOff>
    </xdr:to>
    <xdr:graphicFrame macro="">
      <xdr:nvGraphicFramePr>
        <xdr:cNvPr id="29" name="Chart 29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10</xdr:row>
      <xdr:rowOff>0</xdr:rowOff>
    </xdr:from>
    <xdr:to>
      <xdr:col>6</xdr:col>
      <xdr:colOff>1762124</xdr:colOff>
      <xdr:row>11</xdr:row>
      <xdr:rowOff>91034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8</xdr:col>
      <xdr:colOff>1762124</xdr:colOff>
      <xdr:row>11</xdr:row>
      <xdr:rowOff>91034</xdr:rowOff>
    </xdr:to>
    <xdr:graphicFrame macro="">
      <xdr:nvGraphicFramePr>
        <xdr:cNvPr id="31" name="Chart 29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16</xdr:row>
      <xdr:rowOff>0</xdr:rowOff>
    </xdr:from>
    <xdr:to>
      <xdr:col>2</xdr:col>
      <xdr:colOff>1762124</xdr:colOff>
      <xdr:row>17</xdr:row>
      <xdr:rowOff>91034</xdr:rowOff>
    </xdr:to>
    <xdr:graphicFrame macro="">
      <xdr:nvGraphicFramePr>
        <xdr:cNvPr id="32" name="Chart 29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16</xdr:row>
      <xdr:rowOff>0</xdr:rowOff>
    </xdr:from>
    <xdr:to>
      <xdr:col>6</xdr:col>
      <xdr:colOff>1762124</xdr:colOff>
      <xdr:row>17</xdr:row>
      <xdr:rowOff>91034</xdr:rowOff>
    </xdr:to>
    <xdr:graphicFrame macro="">
      <xdr:nvGraphicFramePr>
        <xdr:cNvPr id="33" name="Chart 29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8</xdr:col>
      <xdr:colOff>1762124</xdr:colOff>
      <xdr:row>17</xdr:row>
      <xdr:rowOff>91034</xdr:rowOff>
    </xdr:to>
    <xdr:graphicFrame macro="">
      <xdr:nvGraphicFramePr>
        <xdr:cNvPr id="35" name="Chart 29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22</xdr:row>
      <xdr:rowOff>0</xdr:rowOff>
    </xdr:from>
    <xdr:to>
      <xdr:col>2</xdr:col>
      <xdr:colOff>1762124</xdr:colOff>
      <xdr:row>23</xdr:row>
      <xdr:rowOff>91034</xdr:rowOff>
    </xdr:to>
    <xdr:graphicFrame macro="">
      <xdr:nvGraphicFramePr>
        <xdr:cNvPr id="36" name="Chart 29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4</xdr:col>
      <xdr:colOff>1762124</xdr:colOff>
      <xdr:row>23</xdr:row>
      <xdr:rowOff>91034</xdr:rowOff>
    </xdr:to>
    <xdr:graphicFrame macro="">
      <xdr:nvGraphicFramePr>
        <xdr:cNvPr id="37" name="Chart 29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0</xdr:colOff>
      <xdr:row>22</xdr:row>
      <xdr:rowOff>0</xdr:rowOff>
    </xdr:from>
    <xdr:to>
      <xdr:col>6</xdr:col>
      <xdr:colOff>1762124</xdr:colOff>
      <xdr:row>23</xdr:row>
      <xdr:rowOff>91034</xdr:rowOff>
    </xdr:to>
    <xdr:graphicFrame macro="">
      <xdr:nvGraphicFramePr>
        <xdr:cNvPr id="38" name="Chart 29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8</xdr:col>
      <xdr:colOff>1762124</xdr:colOff>
      <xdr:row>23</xdr:row>
      <xdr:rowOff>91034</xdr:rowOff>
    </xdr:to>
    <xdr:graphicFrame macro="">
      <xdr:nvGraphicFramePr>
        <xdr:cNvPr id="39" name="Chart 29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28</xdr:row>
      <xdr:rowOff>0</xdr:rowOff>
    </xdr:from>
    <xdr:to>
      <xdr:col>2</xdr:col>
      <xdr:colOff>1722120</xdr:colOff>
      <xdr:row>29</xdr:row>
      <xdr:rowOff>91034</xdr:rowOff>
    </xdr:to>
    <xdr:graphicFrame macro="">
      <xdr:nvGraphicFramePr>
        <xdr:cNvPr id="40" name="Chart 2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28</xdr:row>
      <xdr:rowOff>0</xdr:rowOff>
    </xdr:from>
    <xdr:to>
      <xdr:col>4</xdr:col>
      <xdr:colOff>1762124</xdr:colOff>
      <xdr:row>29</xdr:row>
      <xdr:rowOff>91034</xdr:rowOff>
    </xdr:to>
    <xdr:graphicFrame macro="">
      <xdr:nvGraphicFramePr>
        <xdr:cNvPr id="41" name="Chart 29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6</xdr:col>
      <xdr:colOff>1762124</xdr:colOff>
      <xdr:row>29</xdr:row>
      <xdr:rowOff>91034</xdr:rowOff>
    </xdr:to>
    <xdr:graphicFrame macro="">
      <xdr:nvGraphicFramePr>
        <xdr:cNvPr id="42" name="Chart 29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0</xdr:colOff>
      <xdr:row>28</xdr:row>
      <xdr:rowOff>0</xdr:rowOff>
    </xdr:from>
    <xdr:to>
      <xdr:col>8</xdr:col>
      <xdr:colOff>1762124</xdr:colOff>
      <xdr:row>29</xdr:row>
      <xdr:rowOff>91034</xdr:rowOff>
    </xdr:to>
    <xdr:graphicFrame macro="">
      <xdr:nvGraphicFramePr>
        <xdr:cNvPr id="43" name="Chart 29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34</xdr:row>
      <xdr:rowOff>0</xdr:rowOff>
    </xdr:from>
    <xdr:to>
      <xdr:col>2</xdr:col>
      <xdr:colOff>1762124</xdr:colOff>
      <xdr:row>35</xdr:row>
      <xdr:rowOff>91034</xdr:rowOff>
    </xdr:to>
    <xdr:graphicFrame macro="">
      <xdr:nvGraphicFramePr>
        <xdr:cNvPr id="44" name="Chart 29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0</xdr:colOff>
      <xdr:row>34</xdr:row>
      <xdr:rowOff>0</xdr:rowOff>
    </xdr:from>
    <xdr:to>
      <xdr:col>4</xdr:col>
      <xdr:colOff>1762124</xdr:colOff>
      <xdr:row>35</xdr:row>
      <xdr:rowOff>91034</xdr:rowOff>
    </xdr:to>
    <xdr:graphicFrame macro="">
      <xdr:nvGraphicFramePr>
        <xdr:cNvPr id="45" name="Chart 29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0</xdr:colOff>
      <xdr:row>34</xdr:row>
      <xdr:rowOff>0</xdr:rowOff>
    </xdr:from>
    <xdr:to>
      <xdr:col>6</xdr:col>
      <xdr:colOff>1762124</xdr:colOff>
      <xdr:row>35</xdr:row>
      <xdr:rowOff>91034</xdr:rowOff>
    </xdr:to>
    <xdr:graphicFrame macro="">
      <xdr:nvGraphicFramePr>
        <xdr:cNvPr id="46" name="Chart 29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</xdr:col>
      <xdr:colOff>0</xdr:colOff>
      <xdr:row>34</xdr:row>
      <xdr:rowOff>0</xdr:rowOff>
    </xdr:from>
    <xdr:to>
      <xdr:col>8</xdr:col>
      <xdr:colOff>1762124</xdr:colOff>
      <xdr:row>35</xdr:row>
      <xdr:rowOff>91034</xdr:rowOff>
    </xdr:to>
    <xdr:graphicFrame macro="">
      <xdr:nvGraphicFramePr>
        <xdr:cNvPr id="47" name="Chart 29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40</xdr:row>
      <xdr:rowOff>0</xdr:rowOff>
    </xdr:from>
    <xdr:to>
      <xdr:col>4</xdr:col>
      <xdr:colOff>1920240</xdr:colOff>
      <xdr:row>41</xdr:row>
      <xdr:rowOff>91034</xdr:rowOff>
    </xdr:to>
    <xdr:graphicFrame macro="">
      <xdr:nvGraphicFramePr>
        <xdr:cNvPr id="49" name="Chart 29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0</xdr:colOff>
      <xdr:row>40</xdr:row>
      <xdr:rowOff>0</xdr:rowOff>
    </xdr:from>
    <xdr:to>
      <xdr:col>6</xdr:col>
      <xdr:colOff>1762124</xdr:colOff>
      <xdr:row>41</xdr:row>
      <xdr:rowOff>91034</xdr:rowOff>
    </xdr:to>
    <xdr:graphicFrame macro="">
      <xdr:nvGraphicFramePr>
        <xdr:cNvPr id="50" name="Chart 2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8</xdr:col>
      <xdr:colOff>0</xdr:colOff>
      <xdr:row>40</xdr:row>
      <xdr:rowOff>0</xdr:rowOff>
    </xdr:from>
    <xdr:to>
      <xdr:col>8</xdr:col>
      <xdr:colOff>1762124</xdr:colOff>
      <xdr:row>41</xdr:row>
      <xdr:rowOff>91034</xdr:rowOff>
    </xdr:to>
    <xdr:graphicFrame macro="">
      <xdr:nvGraphicFramePr>
        <xdr:cNvPr id="51" name="Chart 29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0</xdr:colOff>
      <xdr:row>45</xdr:row>
      <xdr:rowOff>0</xdr:rowOff>
    </xdr:from>
    <xdr:to>
      <xdr:col>2</xdr:col>
      <xdr:colOff>1762124</xdr:colOff>
      <xdr:row>45</xdr:row>
      <xdr:rowOff>1081634</xdr:rowOff>
    </xdr:to>
    <xdr:graphicFrame macro="">
      <xdr:nvGraphicFramePr>
        <xdr:cNvPr id="52" name="Chart 29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45</xdr:row>
      <xdr:rowOff>0</xdr:rowOff>
    </xdr:from>
    <xdr:to>
      <xdr:col>4</xdr:col>
      <xdr:colOff>1762124</xdr:colOff>
      <xdr:row>45</xdr:row>
      <xdr:rowOff>1081634</xdr:rowOff>
    </xdr:to>
    <xdr:graphicFrame macro="">
      <xdr:nvGraphicFramePr>
        <xdr:cNvPr id="53" name="Chart 29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</xdr:col>
      <xdr:colOff>0</xdr:colOff>
      <xdr:row>45</xdr:row>
      <xdr:rowOff>0</xdr:rowOff>
    </xdr:from>
    <xdr:to>
      <xdr:col>6</xdr:col>
      <xdr:colOff>1762124</xdr:colOff>
      <xdr:row>45</xdr:row>
      <xdr:rowOff>1081634</xdr:rowOff>
    </xdr:to>
    <xdr:graphicFrame macro="">
      <xdr:nvGraphicFramePr>
        <xdr:cNvPr id="54" name="Chart 29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</xdr:col>
      <xdr:colOff>0</xdr:colOff>
      <xdr:row>45</xdr:row>
      <xdr:rowOff>0</xdr:rowOff>
    </xdr:from>
    <xdr:to>
      <xdr:col>8</xdr:col>
      <xdr:colOff>1762124</xdr:colOff>
      <xdr:row>45</xdr:row>
      <xdr:rowOff>1081634</xdr:rowOff>
    </xdr:to>
    <xdr:graphicFrame macro="">
      <xdr:nvGraphicFramePr>
        <xdr:cNvPr id="55" name="Chart 29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7620</xdr:colOff>
      <xdr:row>39</xdr:row>
      <xdr:rowOff>335280</xdr:rowOff>
    </xdr:from>
    <xdr:to>
      <xdr:col>2</xdr:col>
      <xdr:colOff>1927860</xdr:colOff>
      <xdr:row>41</xdr:row>
      <xdr:rowOff>7214</xdr:rowOff>
    </xdr:to>
    <xdr:graphicFrame macro="">
      <xdr:nvGraphicFramePr>
        <xdr:cNvPr id="56" name="Chart 29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115455</xdr:colOff>
      <xdr:row>20</xdr:row>
      <xdr:rowOff>184726</xdr:rowOff>
    </xdr:from>
    <xdr:to>
      <xdr:col>6</xdr:col>
      <xdr:colOff>1512454</xdr:colOff>
      <xdr:row>21</xdr:row>
      <xdr:rowOff>427182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4710544"/>
          <a:ext cx="2089727" cy="438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11545</xdr:colOff>
      <xdr:row>24</xdr:row>
      <xdr:rowOff>69273</xdr:rowOff>
    </xdr:from>
    <xdr:to>
      <xdr:col>6</xdr:col>
      <xdr:colOff>4860636</xdr:colOff>
      <xdr:row>25</xdr:row>
      <xdr:rowOff>11545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6636" y="6315364"/>
          <a:ext cx="5403273" cy="450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138545</xdr:colOff>
      <xdr:row>22</xdr:row>
      <xdr:rowOff>0</xdr:rowOff>
    </xdr:from>
    <xdr:to>
      <xdr:col>6</xdr:col>
      <xdr:colOff>692726</xdr:colOff>
      <xdr:row>22</xdr:row>
      <xdr:rowOff>495300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090" y="5230091"/>
          <a:ext cx="1246909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92364</xdr:colOff>
      <xdr:row>23</xdr:row>
      <xdr:rowOff>46181</xdr:rowOff>
    </xdr:from>
    <xdr:to>
      <xdr:col>6</xdr:col>
      <xdr:colOff>1603768</xdr:colOff>
      <xdr:row>24</xdr:row>
      <xdr:rowOff>23090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8909" y="5784272"/>
          <a:ext cx="2204132" cy="484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138545</xdr:colOff>
      <xdr:row>25</xdr:row>
      <xdr:rowOff>0</xdr:rowOff>
    </xdr:from>
    <xdr:to>
      <xdr:col>6</xdr:col>
      <xdr:colOff>3020870</xdr:colOff>
      <xdr:row>25</xdr:row>
      <xdr:rowOff>461818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090" y="6754091"/>
          <a:ext cx="3575053" cy="4618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123825</xdr:colOff>
      <xdr:row>118</xdr:row>
      <xdr:rowOff>90486</xdr:rowOff>
    </xdr:from>
    <xdr:to>
      <xdr:col>20</xdr:col>
      <xdr:colOff>590550</xdr:colOff>
      <xdr:row>145</xdr:row>
      <xdr:rowOff>104775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9</xdr:row>
      <xdr:rowOff>114301</xdr:rowOff>
    </xdr:from>
    <xdr:to>
      <xdr:col>16</xdr:col>
      <xdr:colOff>800100</xdr:colOff>
      <xdr:row>16</xdr:row>
      <xdr:rowOff>152401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279400</xdr:colOff>
      <xdr:row>17</xdr:row>
      <xdr:rowOff>0</xdr:rowOff>
    </xdr:from>
    <xdr:to>
      <xdr:col>37</xdr:col>
      <xdr:colOff>228600</xdr:colOff>
      <xdr:row>25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xiong/Dropbox/sharedFolder/software%20UI%20design%20of%20Solvency%20Simul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CompEdge%20Development/Excel%20Sample%20Templates/Dashboard,%20WSJ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cky/Dropbox/DEVELOPMENT%20FOLDER/WCE/WCE_SAMI%20-%20Copy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cky/Dropbox/DEVELOPMENT%20FOLDER/WCE/Safety%20Culture%20Survey%20Workbook%20v1.0%20TES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CompEdge%20Development/Excel%20Sample%20Templates/SampleData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cky/Dropbox/DEVELOPMENT%20FOLDER/WCE/SAMI%20v1.3%20SAV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 - Start"/>
      <sheetName val=" 2 - Income Statement "/>
      <sheetName val="3 - Balance Sheet"/>
      <sheetName val="4 - Additional Info"/>
      <sheetName val="5 - Current Financial Ratios"/>
      <sheetName val="6 - Define Simulation"/>
      <sheetName val="xScratch"/>
      <sheetName val="7 - Enter Additional Data"/>
      <sheetName val="xModel"/>
      <sheetName val="8 - Output"/>
      <sheetName val="9 - Ratios"/>
      <sheetName val="10 - Graph"/>
      <sheetName val="xGraph"/>
      <sheetName val="xScenario Creator"/>
      <sheetName val="xFinancial Ratios"/>
      <sheetName val="xReserves"/>
    </sheetNames>
    <sheetDataSet>
      <sheetData sheetId="0"/>
      <sheetData sheetId="1">
        <row r="7">
          <cell r="I7">
            <v>626250</v>
          </cell>
          <cell r="K7">
            <v>645335</v>
          </cell>
        </row>
        <row r="12">
          <cell r="I12"/>
          <cell r="K12"/>
        </row>
        <row r="17">
          <cell r="I17">
            <v>168430</v>
          </cell>
          <cell r="K17">
            <v>230003</v>
          </cell>
        </row>
        <row r="19">
          <cell r="I19">
            <v>457820</v>
          </cell>
          <cell r="K19">
            <v>415332</v>
          </cell>
        </row>
        <row r="23">
          <cell r="K23"/>
        </row>
        <row r="24">
          <cell r="K24"/>
        </row>
        <row r="25">
          <cell r="K25">
            <v>5000</v>
          </cell>
        </row>
        <row r="26">
          <cell r="K26"/>
        </row>
        <row r="27">
          <cell r="K27">
            <v>66958</v>
          </cell>
        </row>
        <row r="28">
          <cell r="K28"/>
        </row>
        <row r="29">
          <cell r="I29">
            <v>394960</v>
          </cell>
          <cell r="K29">
            <v>348374</v>
          </cell>
        </row>
        <row r="31">
          <cell r="I31"/>
          <cell r="K31"/>
        </row>
        <row r="34">
          <cell r="I34">
            <v>69464</v>
          </cell>
          <cell r="K34">
            <v>103130</v>
          </cell>
        </row>
        <row r="35">
          <cell r="I35"/>
          <cell r="K35"/>
        </row>
        <row r="36">
          <cell r="I36">
            <v>464424</v>
          </cell>
          <cell r="K36">
            <v>451504</v>
          </cell>
        </row>
        <row r="40">
          <cell r="I40">
            <v>0</v>
          </cell>
          <cell r="K40">
            <v>0</v>
          </cell>
        </row>
        <row r="42">
          <cell r="I42">
            <v>464424</v>
          </cell>
          <cell r="K42">
            <v>451504</v>
          </cell>
        </row>
        <row r="44">
          <cell r="I44"/>
          <cell r="K44"/>
        </row>
      </sheetData>
      <sheetData sheetId="2">
        <row r="7">
          <cell r="I7">
            <v>1680759</v>
          </cell>
          <cell r="K7">
            <v>1034949</v>
          </cell>
        </row>
        <row r="8">
          <cell r="I8">
            <v>0</v>
          </cell>
          <cell r="K8"/>
        </row>
        <row r="9">
          <cell r="K9">
            <v>1725710</v>
          </cell>
        </row>
        <row r="11">
          <cell r="K11">
            <v>2765659</v>
          </cell>
        </row>
        <row r="12">
          <cell r="I12"/>
          <cell r="K12"/>
        </row>
        <row r="15">
          <cell r="I15">
            <v>408748</v>
          </cell>
          <cell r="K15">
            <v>420078</v>
          </cell>
        </row>
        <row r="16">
          <cell r="K16">
            <v>669911</v>
          </cell>
        </row>
        <row r="17">
          <cell r="I17"/>
          <cell r="K17"/>
        </row>
        <row r="19">
          <cell r="I19"/>
          <cell r="K19"/>
        </row>
      </sheetData>
      <sheetData sheetId="3">
        <row r="7">
          <cell r="I7">
            <v>100000</v>
          </cell>
          <cell r="K7">
            <v>100000</v>
          </cell>
        </row>
        <row r="20">
          <cell r="I20"/>
          <cell r="K20"/>
        </row>
      </sheetData>
      <sheetData sheetId="4">
        <row r="28">
          <cell r="I28"/>
          <cell r="K28"/>
        </row>
      </sheetData>
      <sheetData sheetId="5">
        <row r="14">
          <cell r="J14">
            <v>25000</v>
          </cell>
        </row>
        <row r="15">
          <cell r="J15">
            <v>100000</v>
          </cell>
        </row>
        <row r="16">
          <cell r="J16">
            <v>250000</v>
          </cell>
        </row>
        <row r="17">
          <cell r="J17">
            <v>500000</v>
          </cell>
        </row>
        <row r="24">
          <cell r="M24">
            <v>0.65</v>
          </cell>
        </row>
        <row r="25">
          <cell r="J25" t="str">
            <v>Option 5:  Y1 = 40%                Y2 = expected         Y3 = 40%                Y4 = expected         Y5 = expected</v>
          </cell>
        </row>
        <row r="26">
          <cell r="J26" t="str">
            <v>Option 2:  Y1 = expected         Y2 = 70%                Y3 = 40%                Y4 = expected         Y5 = 65%</v>
          </cell>
        </row>
      </sheetData>
      <sheetData sheetId="6">
        <row r="5">
          <cell r="E5">
            <v>0.59336</v>
          </cell>
          <cell r="F5">
            <v>0.59336</v>
          </cell>
          <cell r="G5">
            <v>0.59336</v>
          </cell>
          <cell r="H5">
            <v>0.59336</v>
          </cell>
          <cell r="I5">
            <v>0.59336</v>
          </cell>
        </row>
        <row r="6">
          <cell r="E6">
            <v>0.95</v>
          </cell>
          <cell r="F6">
            <v>0.59336</v>
          </cell>
          <cell r="G6">
            <v>0.59336</v>
          </cell>
          <cell r="H6">
            <v>0.95</v>
          </cell>
          <cell r="I6">
            <v>0.59336</v>
          </cell>
        </row>
        <row r="7">
          <cell r="E7">
            <v>0.65</v>
          </cell>
          <cell r="F7">
            <v>0.65</v>
          </cell>
          <cell r="H7">
            <v>0.65</v>
          </cell>
          <cell r="I7">
            <v>0.65</v>
          </cell>
        </row>
        <row r="8">
          <cell r="B8">
            <v>0.6</v>
          </cell>
          <cell r="E8">
            <v>0.4</v>
          </cell>
          <cell r="F8">
            <v>0.59336</v>
          </cell>
          <cell r="G8">
            <v>0.4</v>
          </cell>
          <cell r="H8">
            <v>0.59336</v>
          </cell>
          <cell r="I8">
            <v>0.59336</v>
          </cell>
        </row>
        <row r="9">
          <cell r="B9">
            <v>0.65</v>
          </cell>
          <cell r="E9">
            <v>0.59336</v>
          </cell>
          <cell r="F9">
            <v>0.7</v>
          </cell>
          <cell r="G9">
            <v>0.4</v>
          </cell>
          <cell r="H9">
            <v>0.59336</v>
          </cell>
          <cell r="I9">
            <v>0.65</v>
          </cell>
        </row>
        <row r="10">
          <cell r="B10">
            <v>0.7</v>
          </cell>
        </row>
        <row r="11">
          <cell r="B11">
            <v>0.75</v>
          </cell>
        </row>
        <row r="13">
          <cell r="B13" t="str">
            <v>Option 1:  Y1 = 25%                Y2 = 25%                Y3 = 25%                Y4 = 25%                Y5 = 25%</v>
          </cell>
        </row>
        <row r="14">
          <cell r="B14" t="str">
            <v>Option 2:  Y1 = expected         Y2 = 70%                Y3 = 40%                Y4 = expected         Y5 = 65%</v>
          </cell>
        </row>
        <row r="15">
          <cell r="B15" t="str">
            <v>Option 3:  Y1 = 40%                Y2 = 80%                Y3 = expected         Y4 = 65%                Y5=expected</v>
          </cell>
        </row>
        <row r="16">
          <cell r="B16" t="str">
            <v>Option 4:  Y1 = 95%                Y2 = 85%                Y3 = expected         Y4 = expected         Y5 = expected</v>
          </cell>
        </row>
        <row r="17">
          <cell r="B17" t="str">
            <v>Option 5:  Y1 = 40%                Y2 = expected         Y3 = 40%                Y4 = expected         Y5 = expected</v>
          </cell>
        </row>
        <row r="18">
          <cell r="B18" t="str">
            <v>Option 6:  Y1 = 80%                Y2 = 40%                Y3 = 60%                Y4 = expected         Y5 = 60%</v>
          </cell>
        </row>
        <row r="19">
          <cell r="B19" t="str">
            <v>Option 7:  Y1 = 70%                Y2 = 75%                Y3 = expected         Y4 = expected         Y5 = expected</v>
          </cell>
        </row>
        <row r="20">
          <cell r="B20" t="str">
            <v>Option 8:  Y1 = 95%                Y2 = 95%                Y3 = 95%                Y4 = 95%                 Y5 = 95%</v>
          </cell>
        </row>
        <row r="22">
          <cell r="B22" t="str">
            <v>R1L1</v>
          </cell>
        </row>
        <row r="23">
          <cell r="B23" t="str">
            <v>R1L2</v>
          </cell>
        </row>
        <row r="24">
          <cell r="B24" t="str">
            <v>R1L3</v>
          </cell>
        </row>
        <row r="25">
          <cell r="B25" t="str">
            <v>R1L4</v>
          </cell>
        </row>
        <row r="26">
          <cell r="B26" t="str">
            <v>R1L5</v>
          </cell>
        </row>
        <row r="27">
          <cell r="B27" t="str">
            <v>R2L1</v>
          </cell>
        </row>
        <row r="28">
          <cell r="B28" t="str">
            <v>R2L2</v>
          </cell>
        </row>
        <row r="29">
          <cell r="B29" t="str">
            <v>R2L3</v>
          </cell>
        </row>
        <row r="30">
          <cell r="B30" t="str">
            <v>R2L4</v>
          </cell>
        </row>
        <row r="31">
          <cell r="B31" t="str">
            <v>R2L5</v>
          </cell>
        </row>
        <row r="32">
          <cell r="B32" t="str">
            <v>R3L1</v>
          </cell>
        </row>
        <row r="33">
          <cell r="B33" t="str">
            <v>R3L2</v>
          </cell>
        </row>
        <row r="34">
          <cell r="B34" t="str">
            <v>R3L3</v>
          </cell>
        </row>
        <row r="35">
          <cell r="B35" t="str">
            <v>R3L4</v>
          </cell>
        </row>
        <row r="36">
          <cell r="B36" t="str">
            <v>R3L5</v>
          </cell>
        </row>
        <row r="37">
          <cell r="B37" t="str">
            <v>R4L1</v>
          </cell>
        </row>
        <row r="38">
          <cell r="B38" t="str">
            <v>R4L2</v>
          </cell>
        </row>
        <row r="39">
          <cell r="B39" t="str">
            <v>R4L3</v>
          </cell>
        </row>
        <row r="40">
          <cell r="B40" t="str">
            <v>R4L4</v>
          </cell>
        </row>
        <row r="41">
          <cell r="B41" t="str">
            <v>R4L5</v>
          </cell>
        </row>
      </sheetData>
      <sheetData sheetId="7">
        <row r="19">
          <cell r="J19">
            <v>0.02</v>
          </cell>
          <cell r="K19">
            <v>0.02</v>
          </cell>
          <cell r="L19">
            <v>0.02</v>
          </cell>
          <cell r="M19">
            <v>0.02</v>
          </cell>
          <cell r="N19">
            <v>0.02</v>
          </cell>
        </row>
        <row r="20"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7">
          <cell r="J27">
            <v>0.02</v>
          </cell>
          <cell r="K27">
            <v>0.02</v>
          </cell>
          <cell r="L27">
            <v>0.02</v>
          </cell>
          <cell r="M27">
            <v>0.02</v>
          </cell>
          <cell r="N27">
            <v>0.02</v>
          </cell>
        </row>
        <row r="29">
          <cell r="J29">
            <v>0.03</v>
          </cell>
          <cell r="K29">
            <v>0.03</v>
          </cell>
          <cell r="L29">
            <v>0.03</v>
          </cell>
          <cell r="M29">
            <v>0.03</v>
          </cell>
          <cell r="N29">
            <v>0.03</v>
          </cell>
        </row>
        <row r="30"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9">
          <cell r="J39">
            <v>0.05</v>
          </cell>
          <cell r="K39">
            <v>0.05</v>
          </cell>
          <cell r="L39">
            <v>0.05</v>
          </cell>
          <cell r="M39">
            <v>0.05</v>
          </cell>
          <cell r="N39">
            <v>0.05</v>
          </cell>
        </row>
        <row r="40"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5"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50"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6">
          <cell r="J56">
            <v>0</v>
          </cell>
          <cell r="L56">
            <v>9</v>
          </cell>
        </row>
        <row r="57">
          <cell r="J57">
            <v>0</v>
          </cell>
          <cell r="L57">
            <v>3</v>
          </cell>
        </row>
        <row r="58">
          <cell r="J58">
            <v>0</v>
          </cell>
          <cell r="L58">
            <v>0.25</v>
          </cell>
        </row>
        <row r="59">
          <cell r="J59">
            <v>0</v>
          </cell>
          <cell r="L59">
            <v>1.2</v>
          </cell>
        </row>
        <row r="60">
          <cell r="J60">
            <v>-0.33</v>
          </cell>
          <cell r="L60">
            <v>0.33</v>
          </cell>
        </row>
        <row r="61">
          <cell r="J61">
            <v>-0.1</v>
          </cell>
          <cell r="L61">
            <v>0.5</v>
          </cell>
        </row>
        <row r="62">
          <cell r="J62">
            <v>0</v>
          </cell>
          <cell r="L62">
            <v>0.2</v>
          </cell>
        </row>
        <row r="63">
          <cell r="J63">
            <v>-0.05</v>
          </cell>
          <cell r="L63">
            <v>0.05</v>
          </cell>
        </row>
        <row r="64">
          <cell r="J64">
            <v>-0.05</v>
          </cell>
          <cell r="L64">
            <v>0.05</v>
          </cell>
        </row>
        <row r="65">
          <cell r="J65">
            <v>0</v>
          </cell>
          <cell r="L65">
            <v>0.1</v>
          </cell>
        </row>
        <row r="66">
          <cell r="J66">
            <v>0</v>
          </cell>
          <cell r="L66">
            <v>1.1000000000000001</v>
          </cell>
        </row>
        <row r="67">
          <cell r="J67">
            <v>0</v>
          </cell>
          <cell r="L67">
            <v>0.7</v>
          </cell>
        </row>
        <row r="68">
          <cell r="J68">
            <v>0</v>
          </cell>
          <cell r="L68">
            <v>0.1</v>
          </cell>
        </row>
        <row r="69">
          <cell r="J69">
            <v>0</v>
          </cell>
          <cell r="L69">
            <v>0.1</v>
          </cell>
        </row>
        <row r="70">
          <cell r="J70">
            <v>0</v>
          </cell>
          <cell r="L70">
            <v>1</v>
          </cell>
        </row>
        <row r="71">
          <cell r="J71">
            <v>-0.05</v>
          </cell>
          <cell r="L71">
            <v>0.05</v>
          </cell>
        </row>
        <row r="72">
          <cell r="J72">
            <v>0</v>
          </cell>
          <cell r="L72">
            <v>0.5</v>
          </cell>
        </row>
        <row r="73">
          <cell r="J73">
            <v>1</v>
          </cell>
          <cell r="L73">
            <v>9</v>
          </cell>
        </row>
        <row r="74">
          <cell r="J74">
            <v>100000</v>
          </cell>
          <cell r="L74">
            <v>250000</v>
          </cell>
        </row>
        <row r="75">
          <cell r="J75">
            <v>50000</v>
          </cell>
          <cell r="L75">
            <v>250000</v>
          </cell>
        </row>
        <row r="76">
          <cell r="J76">
            <v>0.1</v>
          </cell>
          <cell r="L76">
            <v>0.5</v>
          </cell>
        </row>
      </sheetData>
      <sheetData sheetId="8"/>
      <sheetData sheetId="9"/>
      <sheetData sheetId="10"/>
      <sheetData sheetId="11"/>
      <sheetData sheetId="12">
        <row r="1">
          <cell r="A1">
            <v>1</v>
          </cell>
        </row>
        <row r="5">
          <cell r="A5">
            <v>2</v>
          </cell>
        </row>
      </sheetData>
      <sheetData sheetId="13"/>
      <sheetData sheetId="14"/>
      <sheetData sheetId="15">
        <row r="7">
          <cell r="K7">
            <v>25000</v>
          </cell>
          <cell r="L7">
            <v>50000</v>
          </cell>
          <cell r="M7">
            <v>100000</v>
          </cell>
          <cell r="N7">
            <v>250000</v>
          </cell>
          <cell r="O7">
            <v>500000</v>
          </cell>
          <cell r="P7">
            <v>1000000</v>
          </cell>
          <cell r="Q7" t="str">
            <v>Unlimited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"/>
      <sheetName val="Control"/>
      <sheetName val="Xaxis"/>
      <sheetName val="B"/>
      <sheetName val="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CONTROL CALC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Data"/>
    </sheetNames>
    <definedNames>
      <definedName name="DataNums"/>
      <definedName name="DataText"/>
      <definedName name="DataYr"/>
      <definedName name="DescQtr"/>
      <definedName name="DescText"/>
      <definedName name="DescYr"/>
      <definedName name="Name"/>
      <definedName name="Quarter"/>
      <definedName name="Year"/>
      <definedName name="Year_End"/>
    </defined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 CALC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3746.597456134259" createdVersion="3" refreshedVersion="6" minRefreshableVersion="3" recordCount="1010" xr:uid="{ED5185EA-1B34-4C30-96E0-EC8D4683897A}">
  <cacheSource type="worksheet">
    <worksheetSource ref="A1:B1011" sheet="LossData"/>
  </cacheSource>
  <cacheFields count="2">
    <cacheField name="Dates" numFmtId="14">
      <sharedItems containsSemiMixedTypes="0" containsNonDate="0" containsDate="1" containsString="0" minDate="2006-10-01T00:00:00" maxDate="2007-01-09T00:00:00" count="100">
        <d v="2006-10-01T00:00:00"/>
        <d v="2007-01-08T00:00:00"/>
        <d v="2006-12-06T00:00:00"/>
        <d v="2006-12-25T00:00:00"/>
        <d v="2006-10-12T00:00:00"/>
        <d v="2006-12-30T00:00:00"/>
        <d v="2006-11-30T00:00:00"/>
        <d v="2006-11-17T00:00:00"/>
        <d v="2006-12-19T00:00:00"/>
        <d v="2006-10-16T00:00:00"/>
        <d v="2006-10-30T00:00:00"/>
        <d v="2006-12-17T00:00:00"/>
        <d v="2006-11-20T00:00:00"/>
        <d v="2006-11-22T00:00:00"/>
        <d v="2006-10-25T00:00:00"/>
        <d v="2006-12-05T00:00:00"/>
        <d v="2007-01-01T00:00:00"/>
        <d v="2006-11-24T00:00:00"/>
        <d v="2006-12-18T00:00:00"/>
        <d v="2006-10-04T00:00:00"/>
        <d v="2006-12-27T00:00:00"/>
        <d v="2006-11-12T00:00:00"/>
        <d v="2007-01-04T00:00:00"/>
        <d v="2006-11-28T00:00:00"/>
        <d v="2006-10-24T00:00:00"/>
        <d v="2006-11-05T00:00:00"/>
        <d v="2006-10-22T00:00:00"/>
        <d v="2006-10-21T00:00:00"/>
        <d v="2006-12-12T00:00:00"/>
        <d v="2006-11-04T00:00:00"/>
        <d v="2006-10-10T00:00:00"/>
        <d v="2006-10-17T00:00:00"/>
        <d v="2006-12-13T00:00:00"/>
        <d v="2007-01-02T00:00:00"/>
        <d v="2006-12-31T00:00:00"/>
        <d v="2006-11-21T00:00:00"/>
        <d v="2006-12-28T00:00:00"/>
        <d v="2006-11-06T00:00:00"/>
        <d v="2006-12-15T00:00:00"/>
        <d v="2006-12-07T00:00:00"/>
        <d v="2006-12-29T00:00:00"/>
        <d v="2006-10-09T00:00:00"/>
        <d v="2006-11-29T00:00:00"/>
        <d v="2006-12-22T00:00:00"/>
        <d v="2006-12-01T00:00:00"/>
        <d v="2006-11-23T00:00:00"/>
        <d v="2006-12-02T00:00:00"/>
        <d v="2006-12-08T00:00:00"/>
        <d v="2006-11-26T00:00:00"/>
        <d v="2006-10-08T00:00:00"/>
        <d v="2006-10-13T00:00:00"/>
        <d v="2006-10-28T00:00:00"/>
        <d v="2006-10-11T00:00:00"/>
        <d v="2006-10-18T00:00:00"/>
        <d v="2006-11-09T00:00:00"/>
        <d v="2007-01-03T00:00:00"/>
        <d v="2006-11-03T00:00:00"/>
        <d v="2006-10-02T00:00:00"/>
        <d v="2006-12-03T00:00:00"/>
        <d v="2006-10-27T00:00:00"/>
        <d v="2006-10-31T00:00:00"/>
        <d v="2006-10-03T00:00:00"/>
        <d v="2006-11-01T00:00:00"/>
        <d v="2006-10-19T00:00:00"/>
        <d v="2006-10-05T00:00:00"/>
        <d v="2006-12-16T00:00:00"/>
        <d v="2006-10-15T00:00:00"/>
        <d v="2006-11-27T00:00:00"/>
        <d v="2006-11-13T00:00:00"/>
        <d v="2007-01-06T00:00:00"/>
        <d v="2006-12-14T00:00:00"/>
        <d v="2006-12-09T00:00:00"/>
        <d v="2006-11-02T00:00:00"/>
        <d v="2006-10-29T00:00:00"/>
        <d v="2006-11-15T00:00:00"/>
        <d v="2006-10-23T00:00:00"/>
        <d v="2006-11-07T00:00:00"/>
        <d v="2006-12-21T00:00:00"/>
        <d v="2006-10-07T00:00:00"/>
        <d v="2006-11-08T00:00:00"/>
        <d v="2006-11-16T00:00:00"/>
        <d v="2006-12-20T00:00:00"/>
        <d v="2006-11-19T00:00:00"/>
        <d v="2006-10-26T00:00:00"/>
        <d v="2007-01-05T00:00:00"/>
        <d v="2006-11-11T00:00:00"/>
        <d v="2006-11-18T00:00:00"/>
        <d v="2006-10-20T00:00:00"/>
        <d v="2006-11-25T00:00:00"/>
        <d v="2006-10-14T00:00:00"/>
        <d v="2007-01-07T00:00:00"/>
        <d v="2006-12-23T00:00:00"/>
        <d v="2006-12-24T00:00:00"/>
        <d v="2006-11-14T00:00:00"/>
        <d v="2006-10-06T00:00:00"/>
        <d v="2006-11-10T00:00:00"/>
        <d v="2006-12-11T00:00:00"/>
        <d v="2006-12-26T00:00:00"/>
        <d v="2006-12-10T00:00:00"/>
        <d v="2006-12-04T00:00:00"/>
      </sharedItems>
    </cacheField>
    <cacheField name="Claim severity" numFmtId="44">
      <sharedItems containsSemiMixedTypes="0" containsString="0" containsNumber="1" minValue="583.71534017971578" maxValue="535199.73797200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0">
  <r>
    <x v="0"/>
    <n v="24493.391034455053"/>
  </r>
  <r>
    <x v="1"/>
    <n v="55785.634739407506"/>
  </r>
  <r>
    <x v="2"/>
    <n v="3231.5095624691776"/>
  </r>
  <r>
    <x v="3"/>
    <n v="4402.931178161115"/>
  </r>
  <r>
    <x v="4"/>
    <n v="40417.042857860244"/>
  </r>
  <r>
    <x v="5"/>
    <n v="25890.111469710424"/>
  </r>
  <r>
    <x v="6"/>
    <n v="24258.08851192849"/>
  </r>
  <r>
    <x v="7"/>
    <n v="131924.35343579573"/>
  </r>
  <r>
    <x v="8"/>
    <n v="88298.79869706757"/>
  </r>
  <r>
    <x v="3"/>
    <n v="170583.7521571097"/>
  </r>
  <r>
    <x v="9"/>
    <n v="32529.149284510611"/>
  </r>
  <r>
    <x v="10"/>
    <n v="10986.163357984697"/>
  </r>
  <r>
    <x v="11"/>
    <n v="9245.4462954235478"/>
  </r>
  <r>
    <x v="12"/>
    <n v="9538.5472956949925"/>
  </r>
  <r>
    <x v="13"/>
    <n v="6166.3005027787476"/>
  </r>
  <r>
    <x v="14"/>
    <n v="9758.9345135549229"/>
  </r>
  <r>
    <x v="8"/>
    <n v="20897.071718426538"/>
  </r>
  <r>
    <x v="15"/>
    <n v="80800.87919845774"/>
  </r>
  <r>
    <x v="16"/>
    <n v="3254.0546362395662"/>
  </r>
  <r>
    <x v="2"/>
    <n v="107495.46807090245"/>
  </r>
  <r>
    <x v="17"/>
    <n v="30505.009394261651"/>
  </r>
  <r>
    <x v="18"/>
    <n v="21972.293901870165"/>
  </r>
  <r>
    <x v="19"/>
    <n v="23819.891712071865"/>
  </r>
  <r>
    <x v="20"/>
    <n v="45402.511396076108"/>
  </r>
  <r>
    <x v="21"/>
    <n v="44835.488135854852"/>
  </r>
  <r>
    <x v="16"/>
    <n v="64807.624343348638"/>
  </r>
  <r>
    <x v="3"/>
    <n v="17662.858850397333"/>
  </r>
  <r>
    <x v="22"/>
    <n v="8489.4755475721213"/>
  </r>
  <r>
    <x v="23"/>
    <n v="60049.024616854942"/>
  </r>
  <r>
    <x v="24"/>
    <n v="10793.708020409709"/>
  </r>
  <r>
    <x v="25"/>
    <n v="31960.971380067713"/>
  </r>
  <r>
    <x v="26"/>
    <n v="73980.09127248131"/>
  </r>
  <r>
    <x v="20"/>
    <n v="37998.58934688662"/>
  </r>
  <r>
    <x v="27"/>
    <n v="30285.614605263454"/>
  </r>
  <r>
    <x v="28"/>
    <n v="12281.821845171806"/>
  </r>
  <r>
    <x v="29"/>
    <n v="183342.07750016593"/>
  </r>
  <r>
    <x v="30"/>
    <n v="22389.136951637211"/>
  </r>
  <r>
    <x v="9"/>
    <n v="4254.468287075716"/>
  </r>
  <r>
    <x v="31"/>
    <n v="8544.1392585434296"/>
  </r>
  <r>
    <x v="32"/>
    <n v="28287.565758841301"/>
  </r>
  <r>
    <x v="33"/>
    <n v="29833.337192522875"/>
  </r>
  <r>
    <x v="29"/>
    <n v="40557.267886684487"/>
  </r>
  <r>
    <x v="34"/>
    <n v="46747.71115769109"/>
  </r>
  <r>
    <x v="29"/>
    <n v="48862.005686191362"/>
  </r>
  <r>
    <x v="35"/>
    <n v="2582.4416529551268"/>
  </r>
  <r>
    <x v="36"/>
    <n v="30834.642879661475"/>
  </r>
  <r>
    <x v="11"/>
    <n v="57587.99649503301"/>
  </r>
  <r>
    <x v="37"/>
    <n v="8671.5481881191317"/>
  </r>
  <r>
    <x v="6"/>
    <n v="49986.762037561602"/>
  </r>
  <r>
    <x v="38"/>
    <n v="24417.795627307351"/>
  </r>
  <r>
    <x v="39"/>
    <n v="5864.136264792317"/>
  </r>
  <r>
    <x v="40"/>
    <n v="27529.348173467613"/>
  </r>
  <r>
    <x v="41"/>
    <n v="33740.427756366444"/>
  </r>
  <r>
    <x v="13"/>
    <n v="33043.183375259352"/>
  </r>
  <r>
    <x v="42"/>
    <n v="11343.824444860302"/>
  </r>
  <r>
    <x v="17"/>
    <n v="8515.6825656898418"/>
  </r>
  <r>
    <x v="29"/>
    <n v="57298.660989227588"/>
  </r>
  <r>
    <x v="43"/>
    <n v="8788.3274816288686"/>
  </r>
  <r>
    <x v="44"/>
    <n v="5451.6244782899939"/>
  </r>
  <r>
    <x v="2"/>
    <n v="45275.501740450592"/>
  </r>
  <r>
    <x v="23"/>
    <n v="42715.41993636173"/>
  </r>
  <r>
    <x v="33"/>
    <n v="22415.254596305913"/>
  </r>
  <r>
    <x v="45"/>
    <n v="46470.799286749367"/>
  </r>
  <r>
    <x v="8"/>
    <n v="18599.389024447381"/>
  </r>
  <r>
    <x v="6"/>
    <n v="4784.1050306810912"/>
  </r>
  <r>
    <x v="32"/>
    <n v="12846.364600811055"/>
  </r>
  <r>
    <x v="33"/>
    <n v="46498.409794690488"/>
  </r>
  <r>
    <x v="2"/>
    <n v="29053.970432398412"/>
  </r>
  <r>
    <x v="44"/>
    <n v="10532.035091540358"/>
  </r>
  <r>
    <x v="46"/>
    <n v="5555.0082725772336"/>
  </r>
  <r>
    <x v="47"/>
    <n v="19236.125456259058"/>
  </r>
  <r>
    <x v="10"/>
    <n v="4793.6541495849578"/>
  </r>
  <r>
    <x v="21"/>
    <n v="22952.363137818757"/>
  </r>
  <r>
    <x v="8"/>
    <n v="16475.238479757991"/>
  </r>
  <r>
    <x v="48"/>
    <n v="16012.456207771642"/>
  </r>
  <r>
    <x v="49"/>
    <n v="247106.53692660507"/>
  </r>
  <r>
    <x v="50"/>
    <n v="62990.214070276561"/>
  </r>
  <r>
    <x v="15"/>
    <n v="10372.727696163836"/>
  </r>
  <r>
    <x v="51"/>
    <n v="6902.9686922837218"/>
  </r>
  <r>
    <x v="48"/>
    <n v="9387.1314561680119"/>
  </r>
  <r>
    <x v="32"/>
    <n v="24606.794289269877"/>
  </r>
  <r>
    <x v="52"/>
    <n v="8757.2986549138477"/>
  </r>
  <r>
    <x v="35"/>
    <n v="26324.943394409889"/>
  </r>
  <r>
    <x v="44"/>
    <n v="52690.379602574787"/>
  </r>
  <r>
    <x v="53"/>
    <n v="33626.123625969834"/>
  </r>
  <r>
    <x v="54"/>
    <n v="9114.8027409877886"/>
  </r>
  <r>
    <x v="43"/>
    <n v="32611.841878471248"/>
  </r>
  <r>
    <x v="55"/>
    <n v="13635.32943063944"/>
  </r>
  <r>
    <x v="56"/>
    <n v="25299.64087053699"/>
  </r>
  <r>
    <x v="15"/>
    <n v="11305.918724587704"/>
  </r>
  <r>
    <x v="57"/>
    <n v="28852.366796068378"/>
  </r>
  <r>
    <x v="12"/>
    <n v="7609.1000368829373"/>
  </r>
  <r>
    <x v="58"/>
    <n v="56442.347198506286"/>
  </r>
  <r>
    <x v="50"/>
    <n v="26641.992283607429"/>
  </r>
  <r>
    <x v="59"/>
    <n v="5614.1357274397906"/>
  </r>
  <r>
    <x v="41"/>
    <n v="2608.7487657787819"/>
  </r>
  <r>
    <x v="45"/>
    <n v="14677.711872070129"/>
  </r>
  <r>
    <x v="54"/>
    <n v="10030.371221808937"/>
  </r>
  <r>
    <x v="60"/>
    <n v="70949.987786877595"/>
  </r>
  <r>
    <x v="61"/>
    <n v="58375.017348598878"/>
  </r>
  <r>
    <x v="21"/>
    <n v="2295.7952981216322"/>
  </r>
  <r>
    <x v="62"/>
    <n v="36131.965095042113"/>
  </r>
  <r>
    <x v="63"/>
    <n v="38199.957267715545"/>
  </r>
  <r>
    <x v="64"/>
    <n v="32975.135356057617"/>
  </r>
  <r>
    <x v="56"/>
    <n v="17765.545099532574"/>
  </r>
  <r>
    <x v="5"/>
    <n v="274397.81289298448"/>
  </r>
  <r>
    <x v="27"/>
    <n v="35341.628904049197"/>
  </r>
  <r>
    <x v="65"/>
    <n v="1876.4044766283853"/>
  </r>
  <r>
    <x v="66"/>
    <n v="14758.775335964059"/>
  </r>
  <r>
    <x v="44"/>
    <n v="45167.135641407214"/>
  </r>
  <r>
    <x v="19"/>
    <n v="74021.303283335976"/>
  </r>
  <r>
    <x v="67"/>
    <n v="20102.171060301065"/>
  </r>
  <r>
    <x v="68"/>
    <n v="88349.7855710195"/>
  </r>
  <r>
    <x v="69"/>
    <n v="24557.542618283667"/>
  </r>
  <r>
    <x v="1"/>
    <n v="23972.596941466534"/>
  </r>
  <r>
    <x v="39"/>
    <n v="80056.527669503223"/>
  </r>
  <r>
    <x v="70"/>
    <n v="1659.2083667679835"/>
  </r>
  <r>
    <x v="59"/>
    <n v="62668.536458381917"/>
  </r>
  <r>
    <x v="40"/>
    <n v="32449.479481849208"/>
  </r>
  <r>
    <x v="71"/>
    <n v="4127.0610450510321"/>
  </r>
  <r>
    <x v="21"/>
    <n v="30625.217731957684"/>
  </r>
  <r>
    <x v="72"/>
    <n v="12398.435136415008"/>
  </r>
  <r>
    <x v="42"/>
    <n v="57657.287614001631"/>
  </r>
  <r>
    <x v="29"/>
    <n v="4696.1331382182771"/>
  </r>
  <r>
    <x v="18"/>
    <n v="23899.184495269063"/>
  </r>
  <r>
    <x v="73"/>
    <n v="18770.430831950052"/>
  </r>
  <r>
    <x v="2"/>
    <n v="48679.873182651907"/>
  </r>
  <r>
    <x v="71"/>
    <n v="3143.9860435996065"/>
  </r>
  <r>
    <x v="74"/>
    <n v="8153.3030637858792"/>
  </r>
  <r>
    <x v="61"/>
    <n v="9797.3518356679597"/>
  </r>
  <r>
    <x v="16"/>
    <n v="21122.562794091711"/>
  </r>
  <r>
    <x v="75"/>
    <n v="52467.283467558431"/>
  </r>
  <r>
    <x v="73"/>
    <n v="39292.194253205103"/>
  </r>
  <r>
    <x v="76"/>
    <n v="6407.3471274828016"/>
  </r>
  <r>
    <x v="39"/>
    <n v="6555.0775269895394"/>
  </r>
  <r>
    <x v="23"/>
    <n v="11173.875142898245"/>
  </r>
  <r>
    <x v="69"/>
    <n v="20971.715156231508"/>
  </r>
  <r>
    <x v="49"/>
    <n v="19074.418692527943"/>
  </r>
  <r>
    <x v="4"/>
    <n v="181593.80067130597"/>
  </r>
  <r>
    <x v="77"/>
    <n v="173217.25601179351"/>
  </r>
  <r>
    <x v="78"/>
    <n v="6961.2610268616709"/>
  </r>
  <r>
    <x v="36"/>
    <n v="123579.98734587476"/>
  </r>
  <r>
    <x v="1"/>
    <n v="10107.514405391217"/>
  </r>
  <r>
    <x v="79"/>
    <n v="28167.819992559776"/>
  </r>
  <r>
    <x v="78"/>
    <n v="29118.953158774799"/>
  </r>
  <r>
    <x v="68"/>
    <n v="8573.5394073735479"/>
  </r>
  <r>
    <x v="80"/>
    <n v="4192.0500215148249"/>
  </r>
  <r>
    <x v="63"/>
    <n v="37287.332276156783"/>
  </r>
  <r>
    <x v="71"/>
    <n v="17284.241220991276"/>
  </r>
  <r>
    <x v="51"/>
    <n v="195328.45510609652"/>
  </r>
  <r>
    <x v="57"/>
    <n v="5753.2635813501029"/>
  </r>
  <r>
    <x v="68"/>
    <n v="38083.686526455574"/>
  </r>
  <r>
    <x v="3"/>
    <n v="59517.537159538486"/>
  </r>
  <r>
    <x v="71"/>
    <n v="9761.207537235503"/>
  </r>
  <r>
    <x v="30"/>
    <n v="17708.466168680858"/>
  </r>
  <r>
    <x v="81"/>
    <n v="16314.1301759984"/>
  </r>
  <r>
    <x v="11"/>
    <n v="51333.126297164788"/>
  </r>
  <r>
    <x v="60"/>
    <n v="23219.723260851562"/>
  </r>
  <r>
    <x v="56"/>
    <n v="22359.423933513317"/>
  </r>
  <r>
    <x v="69"/>
    <n v="7970.9433879352282"/>
  </r>
  <r>
    <x v="82"/>
    <n v="4262.9473707124789"/>
  </r>
  <r>
    <x v="40"/>
    <n v="12083.815470033322"/>
  </r>
  <r>
    <x v="15"/>
    <n v="10176.488846147267"/>
  </r>
  <r>
    <x v="16"/>
    <n v="201033.8460475805"/>
  </r>
  <r>
    <x v="77"/>
    <n v="18568.599567146255"/>
  </r>
  <r>
    <x v="70"/>
    <n v="28801.604311876898"/>
  </r>
  <r>
    <x v="58"/>
    <n v="59793.172098445626"/>
  </r>
  <r>
    <x v="68"/>
    <n v="31961.089734916906"/>
  </r>
  <r>
    <x v="5"/>
    <n v="15704.634674828028"/>
  </r>
  <r>
    <x v="8"/>
    <n v="53629.657387149608"/>
  </r>
  <r>
    <x v="2"/>
    <n v="40990.654793156667"/>
  </r>
  <r>
    <x v="36"/>
    <n v="32600.181787786929"/>
  </r>
  <r>
    <x v="31"/>
    <n v="34427.145706750875"/>
  </r>
  <r>
    <x v="17"/>
    <n v="6716.5556351265495"/>
  </r>
  <r>
    <x v="23"/>
    <n v="13457.405953588795"/>
  </r>
  <r>
    <x v="21"/>
    <n v="115390.03372947879"/>
  </r>
  <r>
    <x v="57"/>
    <n v="16964.772236476707"/>
  </r>
  <r>
    <x v="83"/>
    <n v="5220.6801313347087"/>
  </r>
  <r>
    <x v="84"/>
    <n v="26849.169243239274"/>
  </r>
  <r>
    <x v="85"/>
    <n v="12090.162031540642"/>
  </r>
  <r>
    <x v="17"/>
    <n v="106695.73809989757"/>
  </r>
  <r>
    <x v="41"/>
    <n v="38290.469799240484"/>
  </r>
  <r>
    <x v="83"/>
    <n v="8608.2083985672107"/>
  </r>
  <r>
    <x v="18"/>
    <n v="5793.0526367432831"/>
  </r>
  <r>
    <x v="65"/>
    <n v="9257.1405647192059"/>
  </r>
  <r>
    <x v="48"/>
    <n v="15104.197991109233"/>
  </r>
  <r>
    <x v="24"/>
    <n v="44953.134213787685"/>
  </r>
  <r>
    <x v="86"/>
    <n v="17561.025817326936"/>
  </r>
  <r>
    <x v="87"/>
    <n v="9944.9745379661836"/>
  </r>
  <r>
    <x v="83"/>
    <n v="8207.0472787295203"/>
  </r>
  <r>
    <x v="88"/>
    <n v="32295.839212174949"/>
  </r>
  <r>
    <x v="2"/>
    <n v="83544.14930150946"/>
  </r>
  <r>
    <x v="5"/>
    <n v="75546.369818646621"/>
  </r>
  <r>
    <x v="67"/>
    <n v="26624.845757446379"/>
  </r>
  <r>
    <x v="44"/>
    <n v="102703.42297222084"/>
  </r>
  <r>
    <x v="46"/>
    <n v="72680.927039436297"/>
  </r>
  <r>
    <x v="46"/>
    <n v="14842.808696108264"/>
  </r>
  <r>
    <x v="19"/>
    <n v="16907.432664948199"/>
  </r>
  <r>
    <x v="86"/>
    <n v="4793.3574371017257"/>
  </r>
  <r>
    <x v="89"/>
    <n v="19612.093698203451"/>
  </r>
  <r>
    <x v="72"/>
    <n v="13598.894231070841"/>
  </r>
  <r>
    <x v="32"/>
    <n v="6012.2696932451236"/>
  </r>
  <r>
    <x v="39"/>
    <n v="18208.898388124449"/>
  </r>
  <r>
    <x v="69"/>
    <n v="74818.699175643414"/>
  </r>
  <r>
    <x v="40"/>
    <n v="11728.098038950277"/>
  </r>
  <r>
    <x v="18"/>
    <n v="16648.910437827111"/>
  </r>
  <r>
    <x v="7"/>
    <n v="6477.4019645613107"/>
  </r>
  <r>
    <x v="58"/>
    <n v="172680.6214862015"/>
  </r>
  <r>
    <x v="90"/>
    <n v="45788.225002445739"/>
  </r>
  <r>
    <x v="70"/>
    <n v="14551.41150410885"/>
  </r>
  <r>
    <x v="76"/>
    <n v="1973.8405628564801"/>
  </r>
  <r>
    <x v="38"/>
    <n v="26408.414799000766"/>
  </r>
  <r>
    <x v="40"/>
    <n v="4291.9563166897215"/>
  </r>
  <r>
    <x v="72"/>
    <n v="59220.684249199017"/>
  </r>
  <r>
    <x v="72"/>
    <n v="161979.52410036037"/>
  </r>
  <r>
    <x v="74"/>
    <n v="17975.168657315553"/>
  </r>
  <r>
    <x v="41"/>
    <n v="16973.270616476551"/>
  </r>
  <r>
    <x v="32"/>
    <n v="46389.942799317992"/>
  </r>
  <r>
    <x v="37"/>
    <n v="73212.521064286106"/>
  </r>
  <r>
    <x v="91"/>
    <n v="10152.621644222118"/>
  </r>
  <r>
    <x v="5"/>
    <n v="98262.534594094643"/>
  </r>
  <r>
    <x v="91"/>
    <n v="46149.067473668212"/>
  </r>
  <r>
    <x v="14"/>
    <n v="14963.676608762575"/>
  </r>
  <r>
    <x v="53"/>
    <n v="23889.00695737185"/>
  </r>
  <r>
    <x v="61"/>
    <n v="6485.4421056803048"/>
  </r>
  <r>
    <x v="33"/>
    <n v="38214.527395648838"/>
  </r>
  <r>
    <x v="59"/>
    <n v="8109.7495929906836"/>
  </r>
  <r>
    <x v="92"/>
    <n v="6681.324045962192"/>
  </r>
  <r>
    <x v="14"/>
    <n v="16434.622080923593"/>
  </r>
  <r>
    <x v="93"/>
    <n v="126312.41712576213"/>
  </r>
  <r>
    <x v="49"/>
    <n v="25820.035623637021"/>
  </r>
  <r>
    <x v="47"/>
    <n v="14633.208856771764"/>
  </r>
  <r>
    <x v="47"/>
    <n v="10099.052583338138"/>
  </r>
  <r>
    <x v="34"/>
    <n v="6113.9281262109498"/>
  </r>
  <r>
    <x v="92"/>
    <n v="18577.666354333986"/>
  </r>
  <r>
    <x v="74"/>
    <n v="4737.9727941229621"/>
  </r>
  <r>
    <x v="24"/>
    <n v="44661.347296328306"/>
  </r>
  <r>
    <x v="54"/>
    <n v="190823.40804274284"/>
  </r>
  <r>
    <x v="60"/>
    <n v="261729.91778963106"/>
  </r>
  <r>
    <x v="14"/>
    <n v="26895.369666904317"/>
  </r>
  <r>
    <x v="38"/>
    <n v="12639.921544175193"/>
  </r>
  <r>
    <x v="88"/>
    <n v="1004.0497488067962"/>
  </r>
  <r>
    <x v="65"/>
    <n v="4020.317753721145"/>
  </r>
  <r>
    <x v="43"/>
    <n v="29358.31763808259"/>
  </r>
  <r>
    <x v="53"/>
    <n v="9861.6161412465553"/>
  </r>
  <r>
    <x v="94"/>
    <n v="97633.740173135418"/>
  </r>
  <r>
    <x v="45"/>
    <n v="35089.533942871778"/>
  </r>
  <r>
    <x v="19"/>
    <n v="18549.036608734605"/>
  </r>
  <r>
    <x v="48"/>
    <n v="13394.48364904843"/>
  </r>
  <r>
    <x v="82"/>
    <n v="80527.369396690308"/>
  </r>
  <r>
    <x v="54"/>
    <n v="11619.997006379881"/>
  </r>
  <r>
    <x v="52"/>
    <n v="16129.501522975519"/>
  </r>
  <r>
    <x v="17"/>
    <n v="138747.03495117844"/>
  </r>
  <r>
    <x v="77"/>
    <n v="7191.7546945779786"/>
  </r>
  <r>
    <x v="19"/>
    <n v="4089.9998658947529"/>
  </r>
  <r>
    <x v="32"/>
    <n v="19228.57298814067"/>
  </r>
  <r>
    <x v="21"/>
    <n v="135311.75798160338"/>
  </r>
  <r>
    <x v="27"/>
    <n v="93770.957486227489"/>
  </r>
  <r>
    <x v="33"/>
    <n v="34856.278188253709"/>
  </r>
  <r>
    <x v="67"/>
    <n v="39015.129748409483"/>
  </r>
  <r>
    <x v="33"/>
    <n v="14912.044945378095"/>
  </r>
  <r>
    <x v="31"/>
    <n v="10166.056456311362"/>
  </r>
  <r>
    <x v="81"/>
    <n v="14576.97477688692"/>
  </r>
  <r>
    <x v="64"/>
    <n v="50151.030034071162"/>
  </r>
  <r>
    <x v="12"/>
    <n v="45678.512237890565"/>
  </r>
  <r>
    <x v="84"/>
    <n v="23436.802676282252"/>
  </r>
  <r>
    <x v="69"/>
    <n v="24787.099246852744"/>
  </r>
  <r>
    <x v="35"/>
    <n v="12001.426850389289"/>
  </r>
  <r>
    <x v="95"/>
    <n v="30717.355435029291"/>
  </r>
  <r>
    <x v="78"/>
    <n v="20359.509411387531"/>
  </r>
  <r>
    <x v="5"/>
    <n v="54285.057573822793"/>
  </r>
  <r>
    <x v="56"/>
    <n v="41417.960413951441"/>
  </r>
  <r>
    <x v="63"/>
    <n v="98686.613598363736"/>
  </r>
  <r>
    <x v="11"/>
    <n v="29388.623404311846"/>
  </r>
  <r>
    <x v="42"/>
    <n v="32449.087368201675"/>
  </r>
  <r>
    <x v="74"/>
    <n v="21442.179870207132"/>
  </r>
  <r>
    <x v="6"/>
    <n v="20028.671212349738"/>
  </r>
  <r>
    <x v="48"/>
    <n v="47409.325063949276"/>
  </r>
  <r>
    <x v="94"/>
    <n v="9444.2589680087658"/>
  </r>
  <r>
    <x v="22"/>
    <n v="13845.002354848562"/>
  </r>
  <r>
    <x v="11"/>
    <n v="7069.8043375673051"/>
  </r>
  <r>
    <x v="41"/>
    <n v="16537.590904084951"/>
  </r>
  <r>
    <x v="67"/>
    <n v="7888.725984491175"/>
  </r>
  <r>
    <x v="74"/>
    <n v="28368.885003480544"/>
  </r>
  <r>
    <x v="34"/>
    <n v="10848.435728672153"/>
  </r>
  <r>
    <x v="5"/>
    <n v="4019.0100270873204"/>
  </r>
  <r>
    <x v="53"/>
    <n v="32092.198938431069"/>
  </r>
  <r>
    <x v="43"/>
    <n v="5465.1078829256139"/>
  </r>
  <r>
    <x v="96"/>
    <n v="70547.187864745516"/>
  </r>
  <r>
    <x v="29"/>
    <n v="21218.506981250121"/>
  </r>
  <r>
    <x v="37"/>
    <n v="44572.812080045042"/>
  </r>
  <r>
    <x v="96"/>
    <n v="21107.163194482364"/>
  </r>
  <r>
    <x v="91"/>
    <n v="305800.70164091821"/>
  </r>
  <r>
    <x v="57"/>
    <n v="26844.850797861538"/>
  </r>
  <r>
    <x v="35"/>
    <n v="71508.568511695281"/>
  </r>
  <r>
    <x v="40"/>
    <n v="97984.826868054661"/>
  </r>
  <r>
    <x v="3"/>
    <n v="6975.4497543326024"/>
  </r>
  <r>
    <x v="10"/>
    <n v="43896.688589714337"/>
  </r>
  <r>
    <x v="75"/>
    <n v="7014.2886903595372"/>
  </r>
  <r>
    <x v="25"/>
    <n v="7512.1405762931099"/>
  </r>
  <r>
    <x v="2"/>
    <n v="97769.714424476333"/>
  </r>
  <r>
    <x v="20"/>
    <n v="66498.877691910646"/>
  </r>
  <r>
    <x v="60"/>
    <n v="21399.719365407273"/>
  </r>
  <r>
    <x v="14"/>
    <n v="6328.0522324195772"/>
  </r>
  <r>
    <x v="28"/>
    <n v="6184.8985237111638"/>
  </r>
  <r>
    <x v="43"/>
    <n v="13817.266668267852"/>
  </r>
  <r>
    <x v="79"/>
    <n v="109941.17337409298"/>
  </r>
  <r>
    <x v="55"/>
    <n v="119820.51660705966"/>
  </r>
  <r>
    <x v="51"/>
    <n v="20724.223711791477"/>
  </r>
  <r>
    <x v="86"/>
    <n v="8491.2931005399769"/>
  </r>
  <r>
    <x v="65"/>
    <n v="98469.323489674251"/>
  </r>
  <r>
    <x v="18"/>
    <n v="27757.253078054702"/>
  </r>
  <r>
    <x v="47"/>
    <n v="19523.272291543137"/>
  </r>
  <r>
    <x v="2"/>
    <n v="6549.4140762326915"/>
  </r>
  <r>
    <x v="87"/>
    <n v="28222.191740669739"/>
  </r>
  <r>
    <x v="59"/>
    <n v="16940.234159115636"/>
  </r>
  <r>
    <x v="8"/>
    <n v="41562.715724502792"/>
  </r>
  <r>
    <x v="73"/>
    <n v="14967.486122336135"/>
  </r>
  <r>
    <x v="51"/>
    <n v="74351.26857239785"/>
  </r>
  <r>
    <x v="53"/>
    <n v="13998.26037322523"/>
  </r>
  <r>
    <x v="38"/>
    <n v="7226.303056528769"/>
  </r>
  <r>
    <x v="8"/>
    <n v="56435.539367124518"/>
  </r>
  <r>
    <x v="38"/>
    <n v="47763.951563935298"/>
  </r>
  <r>
    <x v="97"/>
    <n v="6694.5304696317316"/>
  </r>
  <r>
    <x v="96"/>
    <n v="25968.465503514803"/>
  </r>
  <r>
    <x v="47"/>
    <n v="56255.804581972123"/>
  </r>
  <r>
    <x v="69"/>
    <n v="21144.795740301597"/>
  </r>
  <r>
    <x v="20"/>
    <n v="53502.497425434274"/>
  </r>
  <r>
    <x v="33"/>
    <n v="2662.5179476957278"/>
  </r>
  <r>
    <x v="26"/>
    <n v="59989.398756478091"/>
  </r>
  <r>
    <x v="42"/>
    <n v="52842.897394454827"/>
  </r>
  <r>
    <x v="58"/>
    <n v="26200.261047334265"/>
  </r>
  <r>
    <x v="97"/>
    <n v="28074.158397389325"/>
  </r>
  <r>
    <x v="75"/>
    <n v="59535.743722777283"/>
  </r>
  <r>
    <x v="41"/>
    <n v="11583.562716358952"/>
  </r>
  <r>
    <x v="34"/>
    <n v="124229.30866594742"/>
  </r>
  <r>
    <x v="6"/>
    <n v="16598.81020844874"/>
  </r>
  <r>
    <x v="67"/>
    <n v="5794.9496787096332"/>
  </r>
  <r>
    <x v="86"/>
    <n v="33762.685793280478"/>
  </r>
  <r>
    <x v="16"/>
    <n v="13870.836155850606"/>
  </r>
  <r>
    <x v="61"/>
    <n v="65367.341909364673"/>
  </r>
  <r>
    <x v="66"/>
    <n v="16262.225852468528"/>
  </r>
  <r>
    <x v="7"/>
    <n v="18532.442701679058"/>
  </r>
  <r>
    <x v="6"/>
    <n v="37041.079777225037"/>
  </r>
  <r>
    <x v="8"/>
    <n v="13423.846562159577"/>
  </r>
  <r>
    <x v="81"/>
    <n v="11235.414936969284"/>
  </r>
  <r>
    <x v="40"/>
    <n v="23817.167945191417"/>
  </r>
  <r>
    <x v="65"/>
    <n v="14041.964185339884"/>
  </r>
  <r>
    <x v="97"/>
    <n v="12090.437638925368"/>
  </r>
  <r>
    <x v="84"/>
    <n v="39402.927903839322"/>
  </r>
  <r>
    <x v="18"/>
    <n v="24884.927360905222"/>
  </r>
  <r>
    <x v="92"/>
    <n v="8112.921180456995"/>
  </r>
  <r>
    <x v="32"/>
    <n v="12273.75992176802"/>
  </r>
  <r>
    <x v="88"/>
    <n v="8456.1899001060428"/>
  </r>
  <r>
    <x v="78"/>
    <n v="50267.466505481425"/>
  </r>
  <r>
    <x v="49"/>
    <n v="47181.61773814771"/>
  </r>
  <r>
    <x v="29"/>
    <n v="8328.4105836966282"/>
  </r>
  <r>
    <x v="12"/>
    <n v="5164.0794363448558"/>
  </r>
  <r>
    <x v="52"/>
    <n v="7601.160217744331"/>
  </r>
  <r>
    <x v="11"/>
    <n v="2004.5144327516416"/>
  </r>
  <r>
    <x v="56"/>
    <n v="29047.222619298234"/>
  </r>
  <r>
    <x v="89"/>
    <n v="12899.028932427358"/>
  </r>
  <r>
    <x v="1"/>
    <n v="83981.169595104147"/>
  </r>
  <r>
    <x v="9"/>
    <n v="58787.573096044915"/>
  </r>
  <r>
    <x v="40"/>
    <n v="35488.937410464277"/>
  </r>
  <r>
    <x v="92"/>
    <n v="36776.553809067547"/>
  </r>
  <r>
    <x v="98"/>
    <n v="15598.774370544566"/>
  </r>
  <r>
    <x v="1"/>
    <n v="19236.646243101768"/>
  </r>
  <r>
    <x v="1"/>
    <n v="15443.851304959557"/>
  </r>
  <r>
    <x v="57"/>
    <n v="38331.003121398404"/>
  </r>
  <r>
    <x v="18"/>
    <n v="15465.709817832387"/>
  </r>
  <r>
    <x v="10"/>
    <n v="4290.7880428945409"/>
  </r>
  <r>
    <x v="19"/>
    <n v="14830.728848698162"/>
  </r>
  <r>
    <x v="32"/>
    <n v="15603.486168256828"/>
  </r>
  <r>
    <x v="51"/>
    <n v="8540.5836373127222"/>
  </r>
  <r>
    <x v="89"/>
    <n v="55963.525480061602"/>
  </r>
  <r>
    <x v="33"/>
    <n v="4313.4989353311885"/>
  </r>
  <r>
    <x v="78"/>
    <n v="10711.859332633139"/>
  </r>
  <r>
    <x v="90"/>
    <n v="15311.023397541321"/>
  </r>
  <r>
    <x v="76"/>
    <n v="40459.610447588115"/>
  </r>
  <r>
    <x v="41"/>
    <n v="111368.21529947523"/>
  </r>
  <r>
    <x v="78"/>
    <n v="6173.7604380851944"/>
  </r>
  <r>
    <x v="73"/>
    <n v="17580.795849952123"/>
  </r>
  <r>
    <x v="74"/>
    <n v="5367.5100237394427"/>
  </r>
  <r>
    <x v="66"/>
    <n v="52688.75563406419"/>
  </r>
  <r>
    <x v="10"/>
    <n v="7930.2046612939012"/>
  </r>
  <r>
    <x v="65"/>
    <n v="21345.44180792668"/>
  </r>
  <r>
    <x v="39"/>
    <n v="11701.292479741885"/>
  </r>
  <r>
    <x v="2"/>
    <n v="175800.39158844075"/>
  </r>
  <r>
    <x v="72"/>
    <n v="30366.373205799027"/>
  </r>
  <r>
    <x v="40"/>
    <n v="86847.468637893107"/>
  </r>
  <r>
    <x v="54"/>
    <n v="14702.38816366942"/>
  </r>
  <r>
    <x v="69"/>
    <n v="78637.437183606191"/>
  </r>
  <r>
    <x v="92"/>
    <n v="6364.9453856629762"/>
  </r>
  <r>
    <x v="54"/>
    <n v="11247.153691516025"/>
  </r>
  <r>
    <x v="86"/>
    <n v="17481.238113914493"/>
  </r>
  <r>
    <x v="70"/>
    <n v="26570.191594601492"/>
  </r>
  <r>
    <x v="33"/>
    <n v="11864.017834847073"/>
  </r>
  <r>
    <x v="77"/>
    <n v="51043.20468794254"/>
  </r>
  <r>
    <x v="1"/>
    <n v="2062.5204007480797"/>
  </r>
  <r>
    <x v="27"/>
    <n v="62501.346174888618"/>
  </r>
  <r>
    <x v="99"/>
    <n v="82770.604521949863"/>
  </r>
  <r>
    <x v="75"/>
    <n v="18627.029976354253"/>
  </r>
  <r>
    <x v="15"/>
    <n v="18077.349471668258"/>
  </r>
  <r>
    <x v="40"/>
    <n v="61304.030792709214"/>
  </r>
  <r>
    <x v="69"/>
    <n v="136677.01500198108"/>
  </r>
  <r>
    <x v="25"/>
    <n v="15326.896876096465"/>
  </r>
  <r>
    <x v="77"/>
    <n v="44429.021980620186"/>
  </r>
  <r>
    <x v="9"/>
    <n v="25245.472460537334"/>
  </r>
  <r>
    <x v="66"/>
    <n v="20596.552126186987"/>
  </r>
  <r>
    <x v="34"/>
    <n v="4066.5188770835953"/>
  </r>
  <r>
    <x v="31"/>
    <n v="19041.017311153322"/>
  </r>
  <r>
    <x v="23"/>
    <n v="38220.94277397322"/>
  </r>
  <r>
    <x v="64"/>
    <n v="28729.882962598032"/>
  </r>
  <r>
    <x v="71"/>
    <n v="83443.810352669883"/>
  </r>
  <r>
    <x v="31"/>
    <n v="17667.803899169514"/>
  </r>
  <r>
    <x v="48"/>
    <n v="50531.996215018036"/>
  </r>
  <r>
    <x v="51"/>
    <n v="27285.740823676468"/>
  </r>
  <r>
    <x v="10"/>
    <n v="26900.822670919308"/>
  </r>
  <r>
    <x v="4"/>
    <n v="23528.877131319321"/>
  </r>
  <r>
    <x v="84"/>
    <n v="49266.718338037354"/>
  </r>
  <r>
    <x v="13"/>
    <n v="22524.143670710597"/>
  </r>
  <r>
    <x v="26"/>
    <n v="53896.551446844693"/>
  </r>
  <r>
    <x v="3"/>
    <n v="10258.835196041242"/>
  </r>
  <r>
    <x v="56"/>
    <n v="20422.647718283264"/>
  </r>
  <r>
    <x v="52"/>
    <n v="11084.06795957654"/>
  </r>
  <r>
    <x v="74"/>
    <n v="8976.7683683434352"/>
  </r>
  <r>
    <x v="22"/>
    <n v="22995.598083188379"/>
  </r>
  <r>
    <x v="48"/>
    <n v="4223.102122142117"/>
  </r>
  <r>
    <x v="0"/>
    <n v="12922.115767334431"/>
  </r>
  <r>
    <x v="4"/>
    <n v="120501.82474030416"/>
  </r>
  <r>
    <x v="57"/>
    <n v="35936.335554437057"/>
  </r>
  <r>
    <x v="59"/>
    <n v="111442.29037080369"/>
  </r>
  <r>
    <x v="67"/>
    <n v="48060.345426547552"/>
  </r>
  <r>
    <x v="40"/>
    <n v="22958.191231649191"/>
  </r>
  <r>
    <x v="80"/>
    <n v="44218.386109129751"/>
  </r>
  <r>
    <x v="64"/>
    <n v="67483.498648897817"/>
  </r>
  <r>
    <x v="59"/>
    <n v="91168.526763484479"/>
  </r>
  <r>
    <x v="60"/>
    <n v="44366.650486841383"/>
  </r>
  <r>
    <x v="74"/>
    <n v="10368.008356569018"/>
  </r>
  <r>
    <x v="62"/>
    <n v="4748.8689491948198"/>
  </r>
  <r>
    <x v="16"/>
    <n v="148262.57531120258"/>
  </r>
  <r>
    <x v="77"/>
    <n v="22144.393916255845"/>
  </r>
  <r>
    <x v="87"/>
    <n v="40933.947585145987"/>
  </r>
  <r>
    <x v="53"/>
    <n v="21058.46169539342"/>
  </r>
  <r>
    <x v="97"/>
    <n v="10164.817310758039"/>
  </r>
  <r>
    <x v="50"/>
    <n v="210064.94239959642"/>
  </r>
  <r>
    <x v="74"/>
    <n v="16946.438347420582"/>
  </r>
  <r>
    <x v="49"/>
    <n v="30618.214710841163"/>
  </r>
  <r>
    <x v="95"/>
    <n v="27061.071454173187"/>
  </r>
  <r>
    <x v="66"/>
    <n v="16672.788796752371"/>
  </r>
  <r>
    <x v="4"/>
    <n v="107899.96191021761"/>
  </r>
  <r>
    <x v="74"/>
    <n v="2458.1864093052022"/>
  </r>
  <r>
    <x v="76"/>
    <n v="19987.321710416778"/>
  </r>
  <r>
    <x v="85"/>
    <n v="30697.244784624036"/>
  </r>
  <r>
    <x v="20"/>
    <n v="31449.036948031826"/>
  </r>
  <r>
    <x v="6"/>
    <n v="32084.549612580318"/>
  </r>
  <r>
    <x v="97"/>
    <n v="25973.876918001621"/>
  </r>
  <r>
    <x v="13"/>
    <n v="109769.1519901726"/>
  </r>
  <r>
    <x v="87"/>
    <n v="8129.8345540247192"/>
  </r>
  <r>
    <x v="21"/>
    <n v="54599.908608049926"/>
  </r>
  <r>
    <x v="43"/>
    <n v="8425.9531387015195"/>
  </r>
  <r>
    <x v="40"/>
    <n v="131918.97619904033"/>
  </r>
  <r>
    <x v="52"/>
    <n v="25165.315697037375"/>
  </r>
  <r>
    <x v="10"/>
    <n v="31638.393824279818"/>
  </r>
  <r>
    <x v="44"/>
    <n v="24272.132770449734"/>
  </r>
  <r>
    <x v="8"/>
    <n v="12672.014471803903"/>
  </r>
  <r>
    <x v="6"/>
    <n v="22791.021392802097"/>
  </r>
  <r>
    <x v="40"/>
    <n v="37934.259792313525"/>
  </r>
  <r>
    <x v="85"/>
    <n v="21097.578683870775"/>
  </r>
  <r>
    <x v="21"/>
    <n v="165795.35651515084"/>
  </r>
  <r>
    <x v="46"/>
    <n v="535199.73797200934"/>
  </r>
  <r>
    <x v="65"/>
    <n v="15868.621952206246"/>
  </r>
  <r>
    <x v="32"/>
    <n v="3200.1172533755216"/>
  </r>
  <r>
    <x v="38"/>
    <n v="13582.812486060448"/>
  </r>
  <r>
    <x v="73"/>
    <n v="32576.665750917098"/>
  </r>
  <r>
    <x v="16"/>
    <n v="29111.280987516704"/>
  </r>
  <r>
    <x v="34"/>
    <n v="22429.731226206579"/>
  </r>
  <r>
    <x v="82"/>
    <n v="27716.769655442153"/>
  </r>
  <r>
    <x v="27"/>
    <n v="15964.788538153063"/>
  </r>
  <r>
    <x v="56"/>
    <n v="53700.266338950685"/>
  </r>
  <r>
    <x v="21"/>
    <n v="117457.18468584488"/>
  </r>
  <r>
    <x v="32"/>
    <n v="20395.871935899879"/>
  </r>
  <r>
    <x v="55"/>
    <n v="6887.5654648903037"/>
  </r>
  <r>
    <x v="8"/>
    <n v="13899.745380657212"/>
  </r>
  <r>
    <x v="62"/>
    <n v="11060.759797851626"/>
  </r>
  <r>
    <x v="71"/>
    <n v="14920.497108016396"/>
  </r>
  <r>
    <x v="20"/>
    <n v="54756.93180528946"/>
  </r>
  <r>
    <x v="81"/>
    <n v="11770.266921095297"/>
  </r>
  <r>
    <x v="75"/>
    <n v="43768.884491909179"/>
  </r>
  <r>
    <x v="36"/>
    <n v="28234.447694558065"/>
  </r>
  <r>
    <x v="36"/>
    <n v="17951.910871099128"/>
  </r>
  <r>
    <x v="28"/>
    <n v="80177.879061084313"/>
  </r>
  <r>
    <x v="25"/>
    <n v="11738.884238940129"/>
  </r>
  <r>
    <x v="68"/>
    <n v="29420.068890292452"/>
  </r>
  <r>
    <x v="8"/>
    <n v="13398.028195376268"/>
  </r>
  <r>
    <x v="60"/>
    <n v="22502.124883671982"/>
  </r>
  <r>
    <x v="60"/>
    <n v="29471.158778172401"/>
  </r>
  <r>
    <x v="87"/>
    <n v="4593.2139470630091"/>
  </r>
  <r>
    <x v="97"/>
    <n v="56598.765726681326"/>
  </r>
  <r>
    <x v="78"/>
    <n v="22552.905132998061"/>
  </r>
  <r>
    <x v="83"/>
    <n v="44353.503522342624"/>
  </r>
  <r>
    <x v="10"/>
    <n v="20027.210506035426"/>
  </r>
  <r>
    <x v="76"/>
    <n v="11722.91992628562"/>
  </r>
  <r>
    <x v="7"/>
    <n v="62442.255922551987"/>
  </r>
  <r>
    <x v="70"/>
    <n v="30718.929822972212"/>
  </r>
  <r>
    <x v="49"/>
    <n v="4606.9451384251033"/>
  </r>
  <r>
    <x v="73"/>
    <n v="41734.144656384829"/>
  </r>
  <r>
    <x v="42"/>
    <n v="9953.1167971368195"/>
  </r>
  <r>
    <x v="87"/>
    <n v="25575.308555474629"/>
  </r>
  <r>
    <x v="9"/>
    <n v="13527.20582415884"/>
  </r>
  <r>
    <x v="84"/>
    <n v="55283.374582831078"/>
  </r>
  <r>
    <x v="18"/>
    <n v="21921.225506950701"/>
  </r>
  <r>
    <x v="25"/>
    <n v="6236.8297622844275"/>
  </r>
  <r>
    <x v="95"/>
    <n v="40222.519809461046"/>
  </r>
  <r>
    <x v="57"/>
    <n v="34955.61386079307"/>
  </r>
  <r>
    <x v="88"/>
    <n v="59334.823704561153"/>
  </r>
  <r>
    <x v="78"/>
    <n v="43157.908500173391"/>
  </r>
  <r>
    <x v="13"/>
    <n v="5535.4463026923368"/>
  </r>
  <r>
    <x v="11"/>
    <n v="41689.575274821131"/>
  </r>
  <r>
    <x v="63"/>
    <n v="13393.466484858782"/>
  </r>
  <r>
    <x v="43"/>
    <n v="76116.304398654131"/>
  </r>
  <r>
    <x v="93"/>
    <n v="41928.407012376527"/>
  </r>
  <r>
    <x v="94"/>
    <n v="38487.425456229743"/>
  </r>
  <r>
    <x v="74"/>
    <n v="16767.474945529353"/>
  </r>
  <r>
    <x v="57"/>
    <n v="14795.667914870781"/>
  </r>
  <r>
    <x v="4"/>
    <n v="8750.6425629039004"/>
  </r>
  <r>
    <x v="37"/>
    <n v="40071.072111564572"/>
  </r>
  <r>
    <x v="32"/>
    <n v="87864.289079945709"/>
  </r>
  <r>
    <x v="27"/>
    <n v="20686.715988874606"/>
  </r>
  <r>
    <x v="9"/>
    <n v="47613.238644094381"/>
  </r>
  <r>
    <x v="40"/>
    <n v="20020.14684904609"/>
  </r>
  <r>
    <x v="44"/>
    <n v="2147.0473715793651"/>
  </r>
  <r>
    <x v="57"/>
    <n v="6646.606143475823"/>
  </r>
  <r>
    <x v="29"/>
    <n v="12831.674222970923"/>
  </r>
  <r>
    <x v="5"/>
    <n v="11620.019805958585"/>
  </r>
  <r>
    <x v="40"/>
    <n v="129045.42903336161"/>
  </r>
  <r>
    <x v="76"/>
    <n v="29411.134305374955"/>
  </r>
  <r>
    <x v="94"/>
    <n v="9972.3032249761018"/>
  </r>
  <r>
    <x v="0"/>
    <n v="21105.736542049384"/>
  </r>
  <r>
    <x v="37"/>
    <n v="13618.319937075503"/>
  </r>
  <r>
    <x v="11"/>
    <n v="65570.250365115658"/>
  </r>
  <r>
    <x v="11"/>
    <n v="3822.9385989618027"/>
  </r>
  <r>
    <x v="65"/>
    <n v="15212.342718912687"/>
  </r>
  <r>
    <x v="9"/>
    <n v="3963.7428547113636"/>
  </r>
  <r>
    <x v="74"/>
    <n v="29187.200536497738"/>
  </r>
  <r>
    <x v="72"/>
    <n v="21048.995955634484"/>
  </r>
  <r>
    <x v="66"/>
    <n v="102563.14813344806"/>
  </r>
  <r>
    <x v="21"/>
    <n v="28068.123117856936"/>
  </r>
  <r>
    <x v="7"/>
    <n v="10705.144168819599"/>
  </r>
  <r>
    <x v="16"/>
    <n v="12782.394048081789"/>
  </r>
  <r>
    <x v="80"/>
    <n v="26842.056857566891"/>
  </r>
  <r>
    <x v="96"/>
    <n v="33765.189299828926"/>
  </r>
  <r>
    <x v="38"/>
    <n v="6672.8104409876541"/>
  </r>
  <r>
    <x v="45"/>
    <n v="6334.8286386506497"/>
  </r>
  <r>
    <x v="1"/>
    <n v="42347.484085228207"/>
  </r>
  <r>
    <x v="75"/>
    <n v="47975.944781051723"/>
  </r>
  <r>
    <x v="23"/>
    <n v="17494.136601703176"/>
  </r>
  <r>
    <x v="75"/>
    <n v="3799.8584820019319"/>
  </r>
  <r>
    <x v="46"/>
    <n v="32119.204365441405"/>
  </r>
  <r>
    <x v="51"/>
    <n v="6246.1144754814641"/>
  </r>
  <r>
    <x v="8"/>
    <n v="33330.870544796919"/>
  </r>
  <r>
    <x v="24"/>
    <n v="6747.465959599067"/>
  </r>
  <r>
    <x v="99"/>
    <n v="10134.21795284413"/>
  </r>
  <r>
    <x v="18"/>
    <n v="4652.8274934974215"/>
  </r>
  <r>
    <x v="17"/>
    <n v="20776.077563905008"/>
  </r>
  <r>
    <x v="67"/>
    <n v="42848.259434050728"/>
  </r>
  <r>
    <x v="57"/>
    <n v="8699.6578487340303"/>
  </r>
  <r>
    <x v="24"/>
    <n v="16962.53783504837"/>
  </r>
  <r>
    <x v="37"/>
    <n v="11381.607461076215"/>
  </r>
  <r>
    <x v="96"/>
    <n v="2350.667779218697"/>
  </r>
  <r>
    <x v="7"/>
    <n v="17478.363172721703"/>
  </r>
  <r>
    <x v="18"/>
    <n v="8190.1730016514512"/>
  </r>
  <r>
    <x v="95"/>
    <n v="15977.104909929762"/>
  </r>
  <r>
    <x v="52"/>
    <n v="18714.637148003843"/>
  </r>
  <r>
    <x v="25"/>
    <n v="17745.580469879904"/>
  </r>
  <r>
    <x v="44"/>
    <n v="5042.4511798942985"/>
  </r>
  <r>
    <x v="89"/>
    <n v="6357.1429600019528"/>
  </r>
  <r>
    <x v="88"/>
    <n v="64141.03135979447"/>
  </r>
  <r>
    <x v="89"/>
    <n v="26066.737220909348"/>
  </r>
  <r>
    <x v="74"/>
    <n v="4916.4020098583596"/>
  </r>
  <r>
    <x v="59"/>
    <n v="16180.773121558599"/>
  </r>
  <r>
    <x v="98"/>
    <n v="26452.09616221019"/>
  </r>
  <r>
    <x v="30"/>
    <n v="26234.749476034009"/>
  </r>
  <r>
    <x v="48"/>
    <n v="20478.245157962188"/>
  </r>
  <r>
    <x v="86"/>
    <n v="270277.58402187517"/>
  </r>
  <r>
    <x v="69"/>
    <n v="62152.325352093809"/>
  </r>
  <r>
    <x v="45"/>
    <n v="16303.621213877339"/>
  </r>
  <r>
    <x v="15"/>
    <n v="6021.8828762689709"/>
  </r>
  <r>
    <x v="65"/>
    <n v="6939.1065273956174"/>
  </r>
  <r>
    <x v="45"/>
    <n v="15506.335926174845"/>
  </r>
  <r>
    <x v="62"/>
    <n v="54324.782809675402"/>
  </r>
  <r>
    <x v="11"/>
    <n v="7647.576031793822"/>
  </r>
  <r>
    <x v="0"/>
    <n v="84893.671285101285"/>
  </r>
  <r>
    <x v="6"/>
    <n v="19759.092064305602"/>
  </r>
  <r>
    <x v="5"/>
    <n v="10448.92937362872"/>
  </r>
  <r>
    <x v="45"/>
    <n v="134902.66712858138"/>
  </r>
  <r>
    <x v="88"/>
    <n v="11134.707216313604"/>
  </r>
  <r>
    <x v="17"/>
    <n v="11359.390495912177"/>
  </r>
  <r>
    <x v="72"/>
    <n v="65288.372428177463"/>
  </r>
  <r>
    <x v="43"/>
    <n v="50612.036419377742"/>
  </r>
  <r>
    <x v="32"/>
    <n v="32089.350409015413"/>
  </r>
  <r>
    <x v="99"/>
    <n v="33548.214669606066"/>
  </r>
  <r>
    <x v="20"/>
    <n v="26917.604276407495"/>
  </r>
  <r>
    <x v="75"/>
    <n v="34609.438806625498"/>
  </r>
  <r>
    <x v="56"/>
    <n v="17519.736184166966"/>
  </r>
  <r>
    <x v="93"/>
    <n v="117660.00824847702"/>
  </r>
  <r>
    <x v="88"/>
    <n v="5424.2002028278603"/>
  </r>
  <r>
    <x v="3"/>
    <n v="51347.497193706404"/>
  </r>
  <r>
    <x v="96"/>
    <n v="18110.740223818764"/>
  </r>
  <r>
    <x v="71"/>
    <n v="92397.729816077379"/>
  </r>
  <r>
    <x v="95"/>
    <n v="9623.0118016229026"/>
  </r>
  <r>
    <x v="59"/>
    <n v="3601.9842082797318"/>
  </r>
  <r>
    <x v="70"/>
    <n v="82649.645601937038"/>
  </r>
  <r>
    <x v="58"/>
    <n v="19031.484650090548"/>
  </r>
  <r>
    <x v="63"/>
    <n v="5040.0751476361656"/>
  </r>
  <r>
    <x v="53"/>
    <n v="77623.548327164128"/>
  </r>
  <r>
    <x v="22"/>
    <n v="187905.29706051934"/>
  </r>
  <r>
    <x v="89"/>
    <n v="86731.421950985154"/>
  </r>
  <r>
    <x v="47"/>
    <n v="28122.737142389524"/>
  </r>
  <r>
    <x v="59"/>
    <n v="23276.121572947224"/>
  </r>
  <r>
    <x v="34"/>
    <n v="33705.001136327308"/>
  </r>
  <r>
    <x v="23"/>
    <n v="17105.514627477627"/>
  </r>
  <r>
    <x v="0"/>
    <n v="49164.190293897656"/>
  </r>
  <r>
    <x v="48"/>
    <n v="16634.645459784075"/>
  </r>
  <r>
    <x v="60"/>
    <n v="169707.76364827721"/>
  </r>
  <r>
    <x v="68"/>
    <n v="16140.072380466208"/>
  </r>
  <r>
    <x v="68"/>
    <n v="10238.918464129911"/>
  </r>
  <r>
    <x v="24"/>
    <n v="3193.5984106241103"/>
  </r>
  <r>
    <x v="11"/>
    <n v="9743.1902310803944"/>
  </r>
  <r>
    <x v="45"/>
    <n v="8909.1020600669945"/>
  </r>
  <r>
    <x v="38"/>
    <n v="9312.3626575415456"/>
  </r>
  <r>
    <x v="33"/>
    <n v="59575.842934037035"/>
  </r>
  <r>
    <x v="2"/>
    <n v="31452.200927289028"/>
  </r>
  <r>
    <x v="60"/>
    <n v="29975.93534980519"/>
  </r>
  <r>
    <x v="41"/>
    <n v="49071.676575194273"/>
  </r>
  <r>
    <x v="24"/>
    <n v="238886.57898718218"/>
  </r>
  <r>
    <x v="33"/>
    <n v="55322.327850072325"/>
  </r>
  <r>
    <x v="54"/>
    <n v="16446.497295880072"/>
  </r>
  <r>
    <x v="58"/>
    <n v="20170.710843040873"/>
  </r>
  <r>
    <x v="20"/>
    <n v="17828.299913753097"/>
  </r>
  <r>
    <x v="96"/>
    <n v="16509.291613360328"/>
  </r>
  <r>
    <x v="9"/>
    <n v="3316.4560509620474"/>
  </r>
  <r>
    <x v="62"/>
    <n v="12268.930764038398"/>
  </r>
  <r>
    <x v="20"/>
    <n v="19708.913015003869"/>
  </r>
  <r>
    <x v="98"/>
    <n v="140014.75058288156"/>
  </r>
  <r>
    <x v="84"/>
    <n v="1521.0286154938067"/>
  </r>
  <r>
    <x v="72"/>
    <n v="9698.0652046513751"/>
  </r>
  <r>
    <x v="62"/>
    <n v="44042.995843520024"/>
  </r>
  <r>
    <x v="84"/>
    <n v="22066.733711975714"/>
  </r>
  <r>
    <x v="67"/>
    <n v="43123.647192142533"/>
  </r>
  <r>
    <x v="96"/>
    <n v="60352.371999174458"/>
  </r>
  <r>
    <x v="78"/>
    <n v="9754.6436924266491"/>
  </r>
  <r>
    <x v="74"/>
    <n v="72151.579341762364"/>
  </r>
  <r>
    <x v="66"/>
    <n v="21061.144592627468"/>
  </r>
  <r>
    <x v="87"/>
    <n v="23652.290920320749"/>
  </r>
  <r>
    <x v="99"/>
    <n v="28842.284432341065"/>
  </r>
  <r>
    <x v="67"/>
    <n v="22835.073686225001"/>
  </r>
  <r>
    <x v="17"/>
    <n v="139522.2280181222"/>
  </r>
  <r>
    <x v="52"/>
    <n v="10040.278901419608"/>
  </r>
  <r>
    <x v="62"/>
    <n v="8499.9393954278385"/>
  </r>
  <r>
    <x v="87"/>
    <n v="61231.547641640122"/>
  </r>
  <r>
    <x v="52"/>
    <n v="22027.077096816269"/>
  </r>
  <r>
    <x v="63"/>
    <n v="56339.2867720258"/>
  </r>
  <r>
    <x v="37"/>
    <n v="3265.2964395323588"/>
  </r>
  <r>
    <x v="5"/>
    <n v="62005.504026420356"/>
  </r>
  <r>
    <x v="15"/>
    <n v="52336.575821650338"/>
  </r>
  <r>
    <x v="48"/>
    <n v="18170.74324461924"/>
  </r>
  <r>
    <x v="47"/>
    <n v="60057.199300754837"/>
  </r>
  <r>
    <x v="54"/>
    <n v="10884.652755709512"/>
  </r>
  <r>
    <x v="12"/>
    <n v="37031.327782553075"/>
  </r>
  <r>
    <x v="99"/>
    <n v="17124.381824985401"/>
  </r>
  <r>
    <x v="3"/>
    <n v="11139.775441840149"/>
  </r>
  <r>
    <x v="15"/>
    <n v="3711.5362326960822"/>
  </r>
  <r>
    <x v="57"/>
    <n v="44792.909522799651"/>
  </r>
  <r>
    <x v="74"/>
    <n v="90790.309396907527"/>
  </r>
  <r>
    <x v="69"/>
    <n v="126539.54339772963"/>
  </r>
  <r>
    <x v="34"/>
    <n v="106770.26187315839"/>
  </r>
  <r>
    <x v="59"/>
    <n v="111256.07403735233"/>
  </r>
  <r>
    <x v="14"/>
    <n v="30638.625605552377"/>
  </r>
  <r>
    <x v="33"/>
    <n v="42634.737115644639"/>
  </r>
  <r>
    <x v="36"/>
    <n v="11053.359038362945"/>
  </r>
  <r>
    <x v="6"/>
    <n v="23880.002510206905"/>
  </r>
  <r>
    <x v="55"/>
    <n v="5374.310237265292"/>
  </r>
  <r>
    <x v="24"/>
    <n v="89398.42691897793"/>
  </r>
  <r>
    <x v="91"/>
    <n v="11896.270617618742"/>
  </r>
  <r>
    <x v="7"/>
    <n v="30496.583519538231"/>
  </r>
  <r>
    <x v="36"/>
    <n v="14077.319527862142"/>
  </r>
  <r>
    <x v="76"/>
    <n v="10655.676883785109"/>
  </r>
  <r>
    <x v="48"/>
    <n v="18282.219636913975"/>
  </r>
  <r>
    <x v="59"/>
    <n v="3550.1238708334681"/>
  </r>
  <r>
    <x v="27"/>
    <n v="23187.873505825111"/>
  </r>
  <r>
    <x v="40"/>
    <n v="25215.497551441942"/>
  </r>
  <r>
    <x v="93"/>
    <n v="29884.342733150392"/>
  </r>
  <r>
    <x v="71"/>
    <n v="13481.724693675376"/>
  </r>
  <r>
    <x v="84"/>
    <n v="26716.446497595491"/>
  </r>
  <r>
    <x v="62"/>
    <n v="20674.309389515944"/>
  </r>
  <r>
    <x v="39"/>
    <n v="21697.112137967662"/>
  </r>
  <r>
    <x v="90"/>
    <n v="37572.906705993795"/>
  </r>
  <r>
    <x v="11"/>
    <n v="10082.620263038571"/>
  </r>
  <r>
    <x v="67"/>
    <n v="25165.678358281792"/>
  </r>
  <r>
    <x v="88"/>
    <n v="27885.698876100629"/>
  </r>
  <r>
    <x v="53"/>
    <n v="68936.355920147689"/>
  </r>
  <r>
    <x v="36"/>
    <n v="23190.293065994025"/>
  </r>
  <r>
    <x v="62"/>
    <n v="9284.6438600267666"/>
  </r>
  <r>
    <x v="59"/>
    <n v="24039.680672890761"/>
  </r>
  <r>
    <x v="55"/>
    <n v="10609.504977055994"/>
  </r>
  <r>
    <x v="70"/>
    <n v="31714.605285376314"/>
  </r>
  <r>
    <x v="60"/>
    <n v="27465.422382544846"/>
  </r>
  <r>
    <x v="21"/>
    <n v="46908.786240525806"/>
  </r>
  <r>
    <x v="14"/>
    <n v="27906.828582453269"/>
  </r>
  <r>
    <x v="4"/>
    <n v="20988.291109319009"/>
  </r>
  <r>
    <x v="71"/>
    <n v="26506.753954910208"/>
  </r>
  <r>
    <x v="7"/>
    <n v="3455.8493462039123"/>
  </r>
  <r>
    <x v="29"/>
    <n v="302709.58043078473"/>
  </r>
  <r>
    <x v="81"/>
    <n v="4557.7413104405459"/>
  </r>
  <r>
    <x v="47"/>
    <n v="19252.6356675725"/>
  </r>
  <r>
    <x v="39"/>
    <n v="21596.326640159503"/>
  </r>
  <r>
    <x v="81"/>
    <n v="13101.738720281801"/>
  </r>
  <r>
    <x v="71"/>
    <n v="61889.163354871635"/>
  </r>
  <r>
    <x v="17"/>
    <n v="11951.603412877943"/>
  </r>
  <r>
    <x v="94"/>
    <n v="20612.401335482551"/>
  </r>
  <r>
    <x v="7"/>
    <n v="8407.5662318854156"/>
  </r>
  <r>
    <x v="31"/>
    <n v="46274.485345171801"/>
  </r>
  <r>
    <x v="31"/>
    <n v="11005.804884117711"/>
  </r>
  <r>
    <x v="56"/>
    <n v="63529.569160424791"/>
  </r>
  <r>
    <x v="83"/>
    <n v="56362.584713460717"/>
  </r>
  <r>
    <x v="36"/>
    <n v="10213.256499141482"/>
  </r>
  <r>
    <x v="46"/>
    <n v="6891.8622934876639"/>
  </r>
  <r>
    <x v="7"/>
    <n v="11263.999183357251"/>
  </r>
  <r>
    <x v="54"/>
    <n v="35672.684474671776"/>
  </r>
  <r>
    <x v="33"/>
    <n v="30022.366166234729"/>
  </r>
  <r>
    <x v="17"/>
    <n v="21829.228772191123"/>
  </r>
  <r>
    <x v="30"/>
    <n v="18327.977969976706"/>
  </r>
  <r>
    <x v="93"/>
    <n v="5799.2740609298135"/>
  </r>
  <r>
    <x v="84"/>
    <n v="58896.790253591244"/>
  </r>
  <r>
    <x v="56"/>
    <n v="21668.560127596851"/>
  </r>
  <r>
    <x v="4"/>
    <n v="22060.751698382304"/>
  </r>
  <r>
    <x v="74"/>
    <n v="15354.617939176145"/>
  </r>
  <r>
    <x v="8"/>
    <n v="10963.187734228959"/>
  </r>
  <r>
    <x v="66"/>
    <n v="79760.983229815291"/>
  </r>
  <r>
    <x v="93"/>
    <n v="5940.4512176322614"/>
  </r>
  <r>
    <x v="70"/>
    <n v="29723.964496812732"/>
  </r>
  <r>
    <x v="42"/>
    <n v="17647.463889273171"/>
  </r>
  <r>
    <x v="17"/>
    <n v="25469.33854925304"/>
  </r>
  <r>
    <x v="67"/>
    <n v="6041.5492120255403"/>
  </r>
  <r>
    <x v="22"/>
    <n v="7364.3642459420262"/>
  </r>
  <r>
    <x v="96"/>
    <n v="11118.797862465693"/>
  </r>
  <r>
    <x v="93"/>
    <n v="21180.73437477271"/>
  </r>
  <r>
    <x v="95"/>
    <n v="6989.5389912480887"/>
  </r>
  <r>
    <x v="55"/>
    <n v="23705.089553637623"/>
  </r>
  <r>
    <x v="61"/>
    <n v="25255.254870997655"/>
  </r>
  <r>
    <x v="51"/>
    <n v="19870.826730294481"/>
  </r>
  <r>
    <x v="68"/>
    <n v="9583.6325427416905"/>
  </r>
  <r>
    <x v="60"/>
    <n v="38601.800701417844"/>
  </r>
  <r>
    <x v="60"/>
    <n v="6427.3057920020119"/>
  </r>
  <r>
    <x v="74"/>
    <n v="2636.2137115982559"/>
  </r>
  <r>
    <x v="81"/>
    <n v="109113.3485627935"/>
  </r>
  <r>
    <x v="5"/>
    <n v="48801.314214004407"/>
  </r>
  <r>
    <x v="54"/>
    <n v="15365.593280479909"/>
  </r>
  <r>
    <x v="81"/>
    <n v="583.71534017971578"/>
  </r>
  <r>
    <x v="35"/>
    <n v="4787.2974527764918"/>
  </r>
  <r>
    <x v="44"/>
    <n v="197243.70588236171"/>
  </r>
  <r>
    <x v="11"/>
    <n v="20027.452097654499"/>
  </r>
  <r>
    <x v="77"/>
    <n v="83932.038021471119"/>
  </r>
  <r>
    <x v="77"/>
    <n v="9664.1104237338986"/>
  </r>
  <r>
    <x v="36"/>
    <n v="16063.73190485635"/>
  </r>
  <r>
    <x v="44"/>
    <n v="46497.005121286667"/>
  </r>
  <r>
    <x v="28"/>
    <n v="7308.3047944398359"/>
  </r>
  <r>
    <x v="97"/>
    <n v="62261.778660769603"/>
  </r>
  <r>
    <x v="70"/>
    <n v="3791.5009209904106"/>
  </r>
  <r>
    <x v="53"/>
    <n v="11829.948737686715"/>
  </r>
  <r>
    <x v="79"/>
    <n v="21816.374475974611"/>
  </r>
  <r>
    <x v="4"/>
    <n v="147372.02583501485"/>
  </r>
  <r>
    <x v="15"/>
    <n v="129183.21996588586"/>
  </r>
  <r>
    <x v="85"/>
    <n v="3396.9809698083945"/>
  </r>
  <r>
    <x v="86"/>
    <n v="9991.6749231873"/>
  </r>
  <r>
    <x v="7"/>
    <n v="48558.30197693361"/>
  </r>
  <r>
    <x v="21"/>
    <n v="65980.974638850399"/>
  </r>
  <r>
    <x v="86"/>
    <n v="18700.138375645969"/>
  </r>
  <r>
    <x v="38"/>
    <n v="10791.42299047686"/>
  </r>
  <r>
    <x v="80"/>
    <n v="26533.793860092257"/>
  </r>
  <r>
    <x v="81"/>
    <n v="9264.8211623973402"/>
  </r>
  <r>
    <x v="8"/>
    <n v="59097.724375216516"/>
  </r>
  <r>
    <x v="99"/>
    <n v="74461.494051318732"/>
  </r>
  <r>
    <x v="30"/>
    <n v="49641.829355569396"/>
  </r>
  <r>
    <x v="18"/>
    <n v="2324.876112738606"/>
  </r>
  <r>
    <x v="80"/>
    <n v="11930.688884686411"/>
  </r>
  <r>
    <x v="70"/>
    <n v="28271.263253326768"/>
  </r>
  <r>
    <x v="90"/>
    <n v="10305.139183530178"/>
  </r>
  <r>
    <x v="43"/>
    <n v="7374.5618563713742"/>
  </r>
  <r>
    <x v="2"/>
    <n v="342500.79608436924"/>
  </r>
  <r>
    <x v="0"/>
    <n v="16897.980713241981"/>
  </r>
  <r>
    <x v="6"/>
    <n v="47365.789069495688"/>
  </r>
  <r>
    <x v="80"/>
    <n v="47314.491425961038"/>
  </r>
  <r>
    <x v="26"/>
    <n v="16710.433773736782"/>
  </r>
  <r>
    <x v="25"/>
    <n v="5726.9415447035617"/>
  </r>
  <r>
    <x v="19"/>
    <n v="60786.510405298824"/>
  </r>
  <r>
    <x v="97"/>
    <n v="5909.3198081109294"/>
  </r>
  <r>
    <x v="57"/>
    <n v="22596.02496127331"/>
  </r>
  <r>
    <x v="97"/>
    <n v="16544.770862654284"/>
  </r>
  <r>
    <x v="56"/>
    <n v="26391.2465648941"/>
  </r>
  <r>
    <x v="69"/>
    <n v="1115.6234221134764"/>
  </r>
  <r>
    <x v="3"/>
    <n v="51071.930645036584"/>
  </r>
  <r>
    <x v="90"/>
    <n v="48156.000852175202"/>
  </r>
  <r>
    <x v="79"/>
    <n v="43296.229148043254"/>
  </r>
  <r>
    <x v="20"/>
    <n v="18349.46224308775"/>
  </r>
  <r>
    <x v="47"/>
    <n v="12975.796181992491"/>
  </r>
  <r>
    <x v="87"/>
    <n v="13323.432459958023"/>
  </r>
  <r>
    <x v="28"/>
    <n v="18207.091418428088"/>
  </r>
  <r>
    <x v="59"/>
    <n v="18420.358042522323"/>
  </r>
  <r>
    <x v="16"/>
    <n v="90031.028241764448"/>
  </r>
  <r>
    <x v="5"/>
    <n v="68178.726351217309"/>
  </r>
  <r>
    <x v="37"/>
    <n v="11949.23516635431"/>
  </r>
  <r>
    <x v="79"/>
    <n v="38673.796678335384"/>
  </r>
  <r>
    <x v="99"/>
    <n v="48252.663228161437"/>
  </r>
  <r>
    <x v="49"/>
    <n v="41956.387446646622"/>
  </r>
  <r>
    <x v="53"/>
    <n v="72239.612456257382"/>
  </r>
  <r>
    <x v="26"/>
    <n v="50195.459821630953"/>
  </r>
  <r>
    <x v="75"/>
    <n v="4570.3076343890971"/>
  </r>
  <r>
    <x v="93"/>
    <n v="13968.11535833888"/>
  </r>
  <r>
    <x v="71"/>
    <n v="20058.134311015932"/>
  </r>
  <r>
    <x v="80"/>
    <n v="8111.6816119770037"/>
  </r>
  <r>
    <x v="61"/>
    <n v="29561.190298297137"/>
  </r>
  <r>
    <x v="45"/>
    <n v="28405.048527979066"/>
  </r>
  <r>
    <x v="99"/>
    <n v="19756.26909821833"/>
  </r>
  <r>
    <x v="34"/>
    <n v="7328.375726834478"/>
  </r>
  <r>
    <x v="43"/>
    <n v="52004.978802966754"/>
  </r>
  <r>
    <x v="69"/>
    <n v="8261.8178470409584"/>
  </r>
  <r>
    <x v="24"/>
    <n v="37845.486030626431"/>
  </r>
  <r>
    <x v="30"/>
    <n v="57543.373741070645"/>
  </r>
  <r>
    <x v="80"/>
    <n v="40434.009232891098"/>
  </r>
  <r>
    <x v="25"/>
    <n v="43590.594204909867"/>
  </r>
  <r>
    <x v="65"/>
    <n v="3414.6873549111024"/>
  </r>
  <r>
    <x v="14"/>
    <n v="40461.942788669847"/>
  </r>
  <r>
    <x v="63"/>
    <n v="38122.822359284772"/>
  </r>
  <r>
    <x v="24"/>
    <n v="13966.599561779085"/>
  </r>
  <r>
    <x v="52"/>
    <n v="8012.8431621218169"/>
  </r>
  <r>
    <x v="86"/>
    <n v="21948.353974967384"/>
  </r>
  <r>
    <x v="10"/>
    <n v="101555.98186364271"/>
  </r>
  <r>
    <x v="19"/>
    <n v="3869.7481702928462"/>
  </r>
  <r>
    <x v="58"/>
    <n v="67703.633899560795"/>
  </r>
  <r>
    <x v="95"/>
    <n v="4526.8218632331173"/>
  </r>
  <r>
    <x v="13"/>
    <n v="14599.150069069574"/>
  </r>
  <r>
    <x v="13"/>
    <n v="52559.977294569086"/>
  </r>
  <r>
    <x v="53"/>
    <n v="12337.657076601805"/>
  </r>
  <r>
    <x v="45"/>
    <n v="11025.568329689318"/>
  </r>
  <r>
    <x v="50"/>
    <n v="42839.246381007804"/>
  </r>
  <r>
    <x v="90"/>
    <n v="17026.513163607451"/>
  </r>
  <r>
    <x v="93"/>
    <n v="155051.95168407063"/>
  </r>
  <r>
    <x v="12"/>
    <n v="86715.693329584625"/>
  </r>
  <r>
    <x v="98"/>
    <n v="10512.212879308776"/>
  </r>
  <r>
    <x v="70"/>
    <n v="29766.404797194402"/>
  </r>
  <r>
    <x v="13"/>
    <n v="29846.021167917679"/>
  </r>
  <r>
    <x v="65"/>
    <n v="2060.7585501594722"/>
  </r>
  <r>
    <x v="20"/>
    <n v="64149.695194911539"/>
  </r>
  <r>
    <x v="33"/>
    <n v="11312.211968333579"/>
  </r>
  <r>
    <x v="4"/>
    <n v="16559.760022003135"/>
  </r>
  <r>
    <x v="37"/>
    <n v="7373.7771848995872"/>
  </r>
  <r>
    <x v="85"/>
    <n v="20666.36364663476"/>
  </r>
  <r>
    <x v="4"/>
    <n v="6095.7241639028525"/>
  </r>
  <r>
    <x v="51"/>
    <n v="145589.59159381178"/>
  </r>
  <r>
    <x v="97"/>
    <n v="58667.686816826157"/>
  </r>
  <r>
    <x v="65"/>
    <n v="37000.331002890838"/>
  </r>
  <r>
    <x v="2"/>
    <n v="3415.3041547178668"/>
  </r>
  <r>
    <x v="53"/>
    <n v="1475.6263770285084"/>
  </r>
  <r>
    <x v="81"/>
    <n v="32002.586217156659"/>
  </r>
  <r>
    <x v="0"/>
    <n v="40965.510079397267"/>
  </r>
  <r>
    <x v="16"/>
    <n v="11720.349117579064"/>
  </r>
  <r>
    <x v="31"/>
    <n v="2743.4814313870393"/>
  </r>
  <r>
    <x v="27"/>
    <n v="2461.4143822149044"/>
  </r>
  <r>
    <x v="92"/>
    <n v="32886.72342567506"/>
  </r>
  <r>
    <x v="8"/>
    <n v="36760.156359218621"/>
  </r>
  <r>
    <x v="44"/>
    <n v="36801.430960743717"/>
  </r>
  <r>
    <x v="47"/>
    <n v="49277.578114696087"/>
  </r>
  <r>
    <x v="1"/>
    <n v="8247.0998250711564"/>
  </r>
  <r>
    <x v="29"/>
    <n v="6627.1109706573679"/>
  </r>
  <r>
    <x v="90"/>
    <n v="6517.2861783238586"/>
  </r>
  <r>
    <x v="39"/>
    <n v="42567.87404990197"/>
  </r>
  <r>
    <x v="39"/>
    <n v="41532.6381435148"/>
  </r>
  <r>
    <x v="87"/>
    <n v="25441.775486820927"/>
  </r>
  <r>
    <x v="30"/>
    <n v="14292.086583581609"/>
  </r>
  <r>
    <x v="40"/>
    <n v="29654.811336240615"/>
  </r>
  <r>
    <x v="33"/>
    <n v="1991.0971384131542"/>
  </r>
  <r>
    <x v="81"/>
    <n v="20693.737217956532"/>
  </r>
  <r>
    <x v="45"/>
    <n v="37639.417382842817"/>
  </r>
  <r>
    <x v="35"/>
    <n v="23709.62514031414"/>
  </r>
  <r>
    <x v="98"/>
    <n v="10563.131352546885"/>
  </r>
  <r>
    <x v="66"/>
    <n v="25686.208593026273"/>
  </r>
  <r>
    <x v="11"/>
    <n v="17434.938868138604"/>
  </r>
  <r>
    <x v="73"/>
    <n v="11859.716992050284"/>
  </r>
  <r>
    <x v="92"/>
    <n v="3499.3661612728092"/>
  </r>
  <r>
    <x v="37"/>
    <n v="224372.94655736184"/>
  </r>
  <r>
    <x v="82"/>
    <n v="27806.43981100816"/>
  </r>
  <r>
    <x v="21"/>
    <n v="20570.391997948573"/>
  </r>
  <r>
    <x v="32"/>
    <n v="26968.837548201274"/>
  </r>
  <r>
    <x v="14"/>
    <n v="228357.03350642874"/>
  </r>
  <r>
    <x v="78"/>
    <n v="14737.549176547498"/>
  </r>
  <r>
    <x v="79"/>
    <n v="3924.6843676340363"/>
  </r>
  <r>
    <x v="10"/>
    <n v="3384.1911399344726"/>
  </r>
  <r>
    <x v="36"/>
    <n v="68780.72261727252"/>
  </r>
  <r>
    <x v="62"/>
    <n v="56191.932257296692"/>
  </r>
  <r>
    <x v="33"/>
    <n v="64996.443921189326"/>
  </r>
  <r>
    <x v="20"/>
    <n v="76911.916106852514"/>
  </r>
  <r>
    <x v="95"/>
    <n v="12729.44883411768"/>
  </r>
  <r>
    <x v="97"/>
    <n v="50037.074232766929"/>
  </r>
  <r>
    <x v="52"/>
    <n v="21129.469098256544"/>
  </r>
  <r>
    <x v="9"/>
    <n v="12060.176356112339"/>
  </r>
  <r>
    <x v="69"/>
    <n v="112204.34202521823"/>
  </r>
  <r>
    <x v="32"/>
    <n v="44251.705694778364"/>
  </r>
  <r>
    <x v="53"/>
    <n v="483117.69930619217"/>
  </r>
  <r>
    <x v="86"/>
    <n v="108756.98265548982"/>
  </r>
  <r>
    <x v="64"/>
    <n v="20181.450933951495"/>
  </r>
  <r>
    <x v="57"/>
    <n v="12010.23893025096"/>
  </r>
  <r>
    <x v="72"/>
    <n v="49831.784497589979"/>
  </r>
  <r>
    <x v="54"/>
    <n v="11461.099008049565"/>
  </r>
  <r>
    <x v="79"/>
    <n v="14830.507607047277"/>
  </r>
  <r>
    <x v="40"/>
    <n v="11232.933955513545"/>
  </r>
  <r>
    <x v="70"/>
    <n v="10363.238282302176"/>
  </r>
  <r>
    <x v="65"/>
    <n v="10629.433305567945"/>
  </r>
  <r>
    <x v="88"/>
    <n v="14733.75272420721"/>
  </r>
  <r>
    <x v="12"/>
    <n v="16424.39775592029"/>
  </r>
  <r>
    <x v="66"/>
    <n v="112574.37534729316"/>
  </r>
  <r>
    <x v="50"/>
    <n v="8108.7578185199172"/>
  </r>
  <r>
    <x v="57"/>
    <n v="96294.587784110568"/>
  </r>
  <r>
    <x v="36"/>
    <n v="20441.992287982841"/>
  </r>
  <r>
    <x v="64"/>
    <n v="106059.74757867768"/>
  </r>
  <r>
    <x v="43"/>
    <n v="37088.136206506621"/>
  </r>
  <r>
    <x v="62"/>
    <n v="37005.385210393768"/>
  </r>
  <r>
    <x v="54"/>
    <n v="4492.443069460498"/>
  </r>
  <r>
    <x v="63"/>
    <n v="6042.9768872377545"/>
  </r>
  <r>
    <x v="84"/>
    <n v="24161.167904183567"/>
  </r>
  <r>
    <x v="0"/>
    <n v="6186.0612612654577"/>
  </r>
  <r>
    <x v="3"/>
    <n v="26090.306732225003"/>
  </r>
  <r>
    <x v="34"/>
    <n v="8379.1272325672016"/>
  </r>
  <r>
    <x v="99"/>
    <n v="101460.43778013723"/>
  </r>
  <r>
    <x v="10"/>
    <n v="16191.844983329067"/>
  </r>
  <r>
    <x v="5"/>
    <n v="6415.2153146589926"/>
  </r>
  <r>
    <x v="39"/>
    <n v="10955.799973481064"/>
  </r>
  <r>
    <x v="2"/>
    <n v="36189.747603284733"/>
  </r>
  <r>
    <x v="98"/>
    <n v="45365.866055393242"/>
  </r>
  <r>
    <x v="1"/>
    <n v="8944.5829961694599"/>
  </r>
  <r>
    <x v="0"/>
    <n v="29483.660543678478"/>
  </r>
  <r>
    <x v="18"/>
    <n v="66560.573778604012"/>
  </r>
  <r>
    <x v="40"/>
    <n v="6639.7907742712332"/>
  </r>
  <r>
    <x v="87"/>
    <n v="37929.103637702647"/>
  </r>
  <r>
    <x v="12"/>
    <n v="19950.759589183996"/>
  </r>
  <r>
    <x v="36"/>
    <n v="43744.981889869079"/>
  </r>
  <r>
    <x v="97"/>
    <n v="149582.42528310965"/>
  </r>
  <r>
    <x v="72"/>
    <n v="32412.768336555971"/>
  </r>
  <r>
    <x v="32"/>
    <n v="8002.8665818536874"/>
  </r>
  <r>
    <x v="30"/>
    <n v="28978.625955794196"/>
  </r>
  <r>
    <x v="68"/>
    <n v="7418.4587448696493"/>
  </r>
  <r>
    <x v="65"/>
    <n v="53940.367583972024"/>
  </r>
  <r>
    <x v="20"/>
    <n v="10980.023856538577"/>
  </r>
  <r>
    <x v="0"/>
    <n v="29039.721691085619"/>
  </r>
  <r>
    <x v="58"/>
    <n v="28954.655500645636"/>
  </r>
  <r>
    <x v="45"/>
    <n v="23652.213588683237"/>
  </r>
  <r>
    <x v="89"/>
    <n v="14972.743928317648"/>
  </r>
  <r>
    <x v="72"/>
    <n v="22894.306698898017"/>
  </r>
  <r>
    <x v="80"/>
    <n v="17639.945627180627"/>
  </r>
  <r>
    <x v="46"/>
    <n v="19772.190569569731"/>
  </r>
  <r>
    <x v="17"/>
    <n v="13670.263462150482"/>
  </r>
  <r>
    <x v="98"/>
    <n v="8315.1002998002059"/>
  </r>
  <r>
    <x v="5"/>
    <n v="23379.315557186779"/>
  </r>
  <r>
    <x v="73"/>
    <n v="36108.241825588135"/>
  </r>
  <r>
    <x v="21"/>
    <n v="7680.1999755655952"/>
  </r>
  <r>
    <x v="4"/>
    <n v="44649.206315371957"/>
  </r>
  <r>
    <x v="1"/>
    <n v="59880.472025914503"/>
  </r>
  <r>
    <x v="79"/>
    <n v="39630.493798402429"/>
  </r>
  <r>
    <x v="73"/>
    <n v="19453.895174975867"/>
  </r>
  <r>
    <x v="76"/>
    <n v="29280.140237391566"/>
  </r>
  <r>
    <x v="83"/>
    <n v="17068.128313275956"/>
  </r>
  <r>
    <x v="66"/>
    <n v="16536.531879652146"/>
  </r>
  <r>
    <x v="88"/>
    <n v="993.25792252675694"/>
  </r>
  <r>
    <x v="66"/>
    <n v="55653.517815670391"/>
  </r>
  <r>
    <x v="68"/>
    <n v="37463.564928477812"/>
  </r>
  <r>
    <x v="48"/>
    <n v="51917.932877237195"/>
  </r>
  <r>
    <x v="9"/>
    <n v="22606.284862630982"/>
  </r>
  <r>
    <x v="25"/>
    <n v="48082.665372264877"/>
  </r>
  <r>
    <x v="33"/>
    <n v="49859.941477114902"/>
  </r>
  <r>
    <x v="39"/>
    <n v="17522.814404023175"/>
  </r>
  <r>
    <x v="25"/>
    <n v="56227.732531469162"/>
  </r>
  <r>
    <x v="71"/>
    <n v="3234.6371687261694"/>
  </r>
  <r>
    <x v="88"/>
    <n v="19531.008173548773"/>
  </r>
  <r>
    <x v="86"/>
    <n v="2969.1318510039227"/>
  </r>
  <r>
    <x v="82"/>
    <n v="163451.62749318482"/>
  </r>
  <r>
    <x v="9"/>
    <n v="36910.827569688387"/>
  </r>
  <r>
    <x v="88"/>
    <n v="164461.49758841872"/>
  </r>
  <r>
    <x v="79"/>
    <n v="13363.243906020205"/>
  </r>
  <r>
    <x v="40"/>
    <n v="17250.459390606062"/>
  </r>
  <r>
    <x v="40"/>
    <n v="28772.104505462539"/>
  </r>
  <r>
    <x v="21"/>
    <n v="4386.6225989077811"/>
  </r>
  <r>
    <x v="18"/>
    <n v="4155.4453338565945"/>
  </r>
  <r>
    <x v="58"/>
    <n v="3007.8307869536347"/>
  </r>
  <r>
    <x v="36"/>
    <n v="27058.995182441638"/>
  </r>
  <r>
    <x v="72"/>
    <n v="71469.541370237726"/>
  </r>
  <r>
    <x v="65"/>
    <n v="23439.867542378932"/>
  </r>
  <r>
    <x v="58"/>
    <n v="14829.809119599469"/>
  </r>
  <r>
    <x v="93"/>
    <n v="11047.602617195143"/>
  </r>
  <r>
    <x v="8"/>
    <n v="13466.466972777303"/>
  </r>
  <r>
    <x v="84"/>
    <n v="41358.302597187285"/>
  </r>
  <r>
    <x v="88"/>
    <n v="21151.262233208246"/>
  </r>
  <r>
    <x v="6"/>
    <n v="33268.043951164836"/>
  </r>
  <r>
    <x v="69"/>
    <n v="15947.939162350071"/>
  </r>
  <r>
    <x v="76"/>
    <n v="13233.206900057312"/>
  </r>
  <r>
    <x v="59"/>
    <n v="17035.076427029286"/>
  </r>
  <r>
    <x v="25"/>
    <n v="167747.52746053337"/>
  </r>
  <r>
    <x v="36"/>
    <n v="21474.994481066984"/>
  </r>
  <r>
    <x v="99"/>
    <n v="46699.726615512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8DCF19-DB92-4F9E-B418-806973FA9F3A}" name="PivotTable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1:D103" firstHeaderRow="1" firstDataRow="2" firstDataCol="1"/>
  <pivotFields count="2">
    <pivotField axis="axisRow" numFmtId="14" showAll="0">
      <items count="101">
        <item x="0"/>
        <item x="57"/>
        <item x="61"/>
        <item x="19"/>
        <item x="64"/>
        <item x="94"/>
        <item x="78"/>
        <item x="49"/>
        <item x="41"/>
        <item x="30"/>
        <item x="52"/>
        <item x="4"/>
        <item x="50"/>
        <item x="89"/>
        <item x="66"/>
        <item x="9"/>
        <item x="31"/>
        <item x="53"/>
        <item x="63"/>
        <item x="87"/>
        <item x="27"/>
        <item x="26"/>
        <item x="75"/>
        <item x="24"/>
        <item x="14"/>
        <item x="83"/>
        <item x="59"/>
        <item x="51"/>
        <item x="73"/>
        <item x="10"/>
        <item x="60"/>
        <item x="62"/>
        <item x="72"/>
        <item x="56"/>
        <item x="29"/>
        <item x="25"/>
        <item x="37"/>
        <item x="76"/>
        <item x="79"/>
        <item x="54"/>
        <item x="95"/>
        <item x="85"/>
        <item x="21"/>
        <item x="68"/>
        <item x="93"/>
        <item x="74"/>
        <item x="80"/>
        <item x="7"/>
        <item x="86"/>
        <item x="82"/>
        <item x="12"/>
        <item x="35"/>
        <item x="13"/>
        <item x="45"/>
        <item x="17"/>
        <item x="88"/>
        <item x="48"/>
        <item x="67"/>
        <item x="23"/>
        <item x="42"/>
        <item x="6"/>
        <item x="44"/>
        <item x="46"/>
        <item x="58"/>
        <item x="99"/>
        <item x="15"/>
        <item x="2"/>
        <item x="39"/>
        <item x="47"/>
        <item x="71"/>
        <item x="98"/>
        <item x="96"/>
        <item x="28"/>
        <item x="32"/>
        <item x="70"/>
        <item x="38"/>
        <item x="65"/>
        <item x="11"/>
        <item x="18"/>
        <item x="8"/>
        <item x="81"/>
        <item x="77"/>
        <item x="43"/>
        <item x="91"/>
        <item x="92"/>
        <item x="3"/>
        <item x="97"/>
        <item x="20"/>
        <item x="36"/>
        <item x="40"/>
        <item x="5"/>
        <item x="34"/>
        <item x="16"/>
        <item x="33"/>
        <item x="55"/>
        <item x="22"/>
        <item x="84"/>
        <item x="69"/>
        <item x="90"/>
        <item x="1"/>
        <item t="default"/>
      </items>
    </pivotField>
    <pivotField dataField="1" numFmtId="44" showAll="0"/>
  </pivotFields>
  <rowFields count="1">
    <field x="0"/>
  </rowFields>
  <rowItems count="1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severity" fld="1" baseField="0" baseItem="0"/>
    <dataField name="Sum of claim" fld="1" subtotal="count" baseField="0" baseItem="0"/>
    <dataField name="Mean" fld="1" subtotal="average" baseField="0" baseItem="0"/>
  </dataFields>
  <pivotTableStyleInfo name="PivotStyleMedium4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0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11"/>
  <sheetViews>
    <sheetView workbookViewId="0"/>
  </sheetViews>
  <sheetFormatPr defaultColWidth="8.81640625" defaultRowHeight="14.5"/>
  <sheetData>
    <row r="3" spans="2:2">
      <c r="B3" t="s">
        <v>20</v>
      </c>
    </row>
    <row r="4" spans="2:2">
      <c r="B4" t="s">
        <v>21</v>
      </c>
    </row>
    <row r="8" spans="2:2">
      <c r="B8" t="s">
        <v>223</v>
      </c>
    </row>
    <row r="9" spans="2:2">
      <c r="B9" t="s">
        <v>283</v>
      </c>
    </row>
    <row r="10" spans="2:2">
      <c r="B10" s="62" t="s">
        <v>282</v>
      </c>
    </row>
    <row r="11" spans="2:2">
      <c r="B11" t="s">
        <v>306</v>
      </c>
    </row>
  </sheetData>
  <phoneticPr fontId="2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AD942-3598-4AFB-BE49-7C9CB8F32295}">
  <sheetPr codeName="Sheet19"/>
  <dimension ref="A1:B1"/>
  <sheetViews>
    <sheetView workbookViewId="0">
      <selection activeCell="C18" sqref="C18"/>
    </sheetView>
  </sheetViews>
  <sheetFormatPr defaultColWidth="8.81640625" defaultRowHeight="14.5"/>
  <cols>
    <col min="1" max="1" width="19.08984375" style="99" customWidth="1"/>
    <col min="2" max="2" width="19.08984375" style="341" customWidth="1"/>
    <col min="3" max="16384" width="8.81640625" style="181"/>
  </cols>
  <sheetData>
    <row r="1" spans="1:2">
      <c r="A1" s="339" t="s">
        <v>499</v>
      </c>
      <c r="B1" s="340" t="s">
        <v>500</v>
      </c>
    </row>
  </sheetData>
  <phoneticPr fontId="6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461F8-0B37-4250-A196-DA81E09690AD}">
  <sheetPr codeName="Sheet21"/>
  <dimension ref="A1:D103"/>
  <sheetViews>
    <sheetView workbookViewId="0">
      <selection activeCell="G17" sqref="G17"/>
    </sheetView>
  </sheetViews>
  <sheetFormatPr defaultRowHeight="14.5"/>
  <cols>
    <col min="1" max="1" width="12.36328125" bestFit="1" customWidth="1"/>
    <col min="2" max="2" width="13.6328125" bestFit="1" customWidth="1"/>
    <col min="3" max="3" width="11.453125" bestFit="1" customWidth="1"/>
    <col min="4" max="4" width="11.81640625" bestFit="1" customWidth="1"/>
  </cols>
  <sheetData>
    <row r="1" spans="1:4">
      <c r="B1" s="342" t="s">
        <v>506</v>
      </c>
    </row>
    <row r="2" spans="1:4">
      <c r="A2" s="342" t="s">
        <v>504</v>
      </c>
      <c r="B2" s="7" t="s">
        <v>501</v>
      </c>
      <c r="C2" s="7" t="s">
        <v>502</v>
      </c>
      <c r="D2" s="7" t="s">
        <v>503</v>
      </c>
    </row>
    <row r="3" spans="1:4">
      <c r="A3" s="343">
        <v>38991</v>
      </c>
      <c r="B3" s="103">
        <v>315152.03921150661</v>
      </c>
      <c r="C3" s="103">
        <v>10</v>
      </c>
      <c r="D3" s="103">
        <v>31515.20392115066</v>
      </c>
    </row>
    <row r="4" spans="1:4">
      <c r="A4" s="343">
        <v>38992</v>
      </c>
      <c r="B4" s="103">
        <v>393473.89905390039</v>
      </c>
      <c r="C4" s="103">
        <v>14</v>
      </c>
      <c r="D4" s="103">
        <v>28105.278503850026</v>
      </c>
    </row>
    <row r="5" spans="1:4">
      <c r="A5" s="343">
        <v>38993</v>
      </c>
      <c r="B5" s="103">
        <v>194841.59836860659</v>
      </c>
      <c r="C5" s="103">
        <v>6</v>
      </c>
      <c r="D5" s="103">
        <v>32473.599728101097</v>
      </c>
    </row>
    <row r="6" spans="1:4">
      <c r="A6" s="343">
        <v>38994</v>
      </c>
      <c r="B6" s="103">
        <v>216874.65155927523</v>
      </c>
      <c r="C6" s="103">
        <v>8</v>
      </c>
      <c r="D6" s="103">
        <v>27109.331444909403</v>
      </c>
    </row>
    <row r="7" spans="1:4">
      <c r="A7" s="343">
        <v>38995</v>
      </c>
      <c r="B7" s="103">
        <v>305580.74551425379</v>
      </c>
      <c r="C7" s="103">
        <v>6</v>
      </c>
      <c r="D7" s="103">
        <v>50930.12425237563</v>
      </c>
    </row>
    <row r="8" spans="1:4">
      <c r="A8" s="343">
        <v>38996</v>
      </c>
      <c r="B8" s="103">
        <v>176150.12915783259</v>
      </c>
      <c r="C8" s="103">
        <v>5</v>
      </c>
      <c r="D8" s="103">
        <v>35230.02583156652</v>
      </c>
    </row>
    <row r="9" spans="1:4">
      <c r="A9" s="343">
        <v>38997</v>
      </c>
      <c r="B9" s="103">
        <v>213795.81637536935</v>
      </c>
      <c r="C9" s="103">
        <v>10</v>
      </c>
      <c r="D9" s="103">
        <v>21379.581637536936</v>
      </c>
    </row>
    <row r="10" spans="1:4">
      <c r="A10" s="343">
        <v>38998</v>
      </c>
      <c r="B10" s="103">
        <v>416364.1562768307</v>
      </c>
      <c r="C10" s="103">
        <v>7</v>
      </c>
      <c r="D10" s="103">
        <v>59480.59375383296</v>
      </c>
    </row>
    <row r="11" spans="1:4">
      <c r="A11" s="343">
        <v>38999</v>
      </c>
      <c r="B11" s="103">
        <v>280173.96243297565</v>
      </c>
      <c r="C11" s="103">
        <v>8</v>
      </c>
      <c r="D11" s="103">
        <v>35021.745304121956</v>
      </c>
    </row>
    <row r="12" spans="1:4">
      <c r="A12" s="343">
        <v>39000</v>
      </c>
      <c r="B12" s="103">
        <v>235116.24620234466</v>
      </c>
      <c r="C12" s="103">
        <v>8</v>
      </c>
      <c r="D12" s="103">
        <v>29389.530775293082</v>
      </c>
    </row>
    <row r="13" spans="1:4">
      <c r="A13" s="343">
        <v>39001</v>
      </c>
      <c r="B13" s="103">
        <v>148661.64945886569</v>
      </c>
      <c r="C13" s="103">
        <v>10</v>
      </c>
      <c r="D13" s="103">
        <v>14866.164945886569</v>
      </c>
    </row>
    <row r="14" spans="1:4">
      <c r="A14" s="343">
        <v>39002</v>
      </c>
      <c r="B14" s="103">
        <v>740417.90901790513</v>
      </c>
      <c r="C14" s="103">
        <v>12</v>
      </c>
      <c r="D14" s="103">
        <v>61701.492418158763</v>
      </c>
    </row>
    <row r="15" spans="1:4">
      <c r="A15" s="343">
        <v>39003</v>
      </c>
      <c r="B15" s="103">
        <v>350645.15295300813</v>
      </c>
      <c r="C15" s="103">
        <v>5</v>
      </c>
      <c r="D15" s="103">
        <v>70129.030590601629</v>
      </c>
    </row>
    <row r="16" spans="1:4">
      <c r="A16" s="343">
        <v>39004</v>
      </c>
      <c r="B16" s="103">
        <v>222602.69417090653</v>
      </c>
      <c r="C16" s="103">
        <v>7</v>
      </c>
      <c r="D16" s="103">
        <v>31800.384881558075</v>
      </c>
    </row>
    <row r="17" spans="1:4">
      <c r="A17" s="343">
        <v>39005</v>
      </c>
      <c r="B17" s="103">
        <v>534815.00733696891</v>
      </c>
      <c r="C17" s="103">
        <v>12</v>
      </c>
      <c r="D17" s="103">
        <v>44567.917278080742</v>
      </c>
    </row>
    <row r="18" spans="1:4">
      <c r="A18" s="343">
        <v>39006</v>
      </c>
      <c r="B18" s="103">
        <v>260814.59529052692</v>
      </c>
      <c r="C18" s="103">
        <v>11</v>
      </c>
      <c r="D18" s="103">
        <v>23710.417753684265</v>
      </c>
    </row>
    <row r="19" spans="1:4">
      <c r="A19" s="343">
        <v>39007</v>
      </c>
      <c r="B19" s="103">
        <v>149869.93429260506</v>
      </c>
      <c r="C19" s="103">
        <v>8</v>
      </c>
      <c r="D19" s="103">
        <v>18733.741786575632</v>
      </c>
    </row>
    <row r="20" spans="1:4">
      <c r="A20" s="343">
        <v>39008</v>
      </c>
      <c r="B20" s="103">
        <v>862086.11593271641</v>
      </c>
      <c r="C20" s="103">
        <v>13</v>
      </c>
      <c r="D20" s="103">
        <v>66314.31661020896</v>
      </c>
    </row>
    <row r="21" spans="1:4">
      <c r="A21" s="343">
        <v>39009</v>
      </c>
      <c r="B21" s="103">
        <v>293112.53079327935</v>
      </c>
      <c r="C21" s="103">
        <v>8</v>
      </c>
      <c r="D21" s="103">
        <v>36639.066349159919</v>
      </c>
    </row>
    <row r="22" spans="1:4">
      <c r="A22" s="343">
        <v>39010</v>
      </c>
      <c r="B22" s="103">
        <v>278977.6210667867</v>
      </c>
      <c r="C22" s="103">
        <v>11</v>
      </c>
      <c r="D22" s="103">
        <v>25361.601915162428</v>
      </c>
    </row>
    <row r="23" spans="1:4">
      <c r="A23" s="343">
        <v>39011</v>
      </c>
      <c r="B23" s="103">
        <v>284200.3395854964</v>
      </c>
      <c r="C23" s="103">
        <v>8</v>
      </c>
      <c r="D23" s="103">
        <v>35525.04244818705</v>
      </c>
    </row>
    <row r="24" spans="1:4">
      <c r="A24" s="343">
        <v>39012</v>
      </c>
      <c r="B24" s="103">
        <v>254771.93507117184</v>
      </c>
      <c r="C24" s="103">
        <v>5</v>
      </c>
      <c r="D24" s="103">
        <v>50954.387014234366</v>
      </c>
    </row>
    <row r="25" spans="1:4">
      <c r="A25" s="343">
        <v>39013</v>
      </c>
      <c r="B25" s="103">
        <v>272368.78005302692</v>
      </c>
      <c r="C25" s="103">
        <v>9</v>
      </c>
      <c r="D25" s="103">
        <v>30263.197783669657</v>
      </c>
    </row>
    <row r="26" spans="1:4">
      <c r="A26" s="343">
        <v>39014</v>
      </c>
      <c r="B26" s="103">
        <v>507408.88323436282</v>
      </c>
      <c r="C26" s="103">
        <v>10</v>
      </c>
      <c r="D26" s="103">
        <v>50740.88832343628</v>
      </c>
    </row>
    <row r="27" spans="1:4">
      <c r="A27" s="343">
        <v>39015</v>
      </c>
      <c r="B27" s="103">
        <v>401745.08558566921</v>
      </c>
      <c r="C27" s="103">
        <v>9</v>
      </c>
      <c r="D27" s="103">
        <v>44638.342842852137</v>
      </c>
    </row>
    <row r="28" spans="1:4">
      <c r="A28" s="343">
        <v>39016</v>
      </c>
      <c r="B28" s="103">
        <v>139820.15235771076</v>
      </c>
      <c r="C28" s="103">
        <v>6</v>
      </c>
      <c r="D28" s="103">
        <v>23303.358726285125</v>
      </c>
    </row>
    <row r="29" spans="1:4">
      <c r="A29" s="343">
        <v>39017</v>
      </c>
      <c r="B29" s="103">
        <v>513303.66502562998</v>
      </c>
      <c r="C29" s="103">
        <v>14</v>
      </c>
      <c r="D29" s="103">
        <v>36664.547501830712</v>
      </c>
    </row>
    <row r="30" spans="1:4">
      <c r="A30" s="343">
        <v>39018</v>
      </c>
      <c r="B30" s="103">
        <v>504839.77334314643</v>
      </c>
      <c r="C30" s="103">
        <v>9</v>
      </c>
      <c r="D30" s="103">
        <v>56093.308149238495</v>
      </c>
    </row>
    <row r="31" spans="1:4">
      <c r="A31" s="343">
        <v>39019</v>
      </c>
      <c r="B31" s="103">
        <v>232343.57145735962</v>
      </c>
      <c r="C31" s="103">
        <v>9</v>
      </c>
      <c r="D31" s="103">
        <v>25815.952384151067</v>
      </c>
    </row>
    <row r="32" spans="1:4">
      <c r="A32" s="343">
        <v>39020</v>
      </c>
      <c r="B32" s="103">
        <v>271595.94378961326</v>
      </c>
      <c r="C32" s="103">
        <v>11</v>
      </c>
      <c r="D32" s="103">
        <v>24690.540344510297</v>
      </c>
    </row>
    <row r="33" spans="1:4">
      <c r="A33" s="343">
        <v>39021</v>
      </c>
      <c r="B33" s="103">
        <v>745817.51022550033</v>
      </c>
      <c r="C33" s="103">
        <v>12</v>
      </c>
      <c r="D33" s="103">
        <v>62151.459185458363</v>
      </c>
    </row>
    <row r="34" spans="1:4">
      <c r="A34" s="343">
        <v>39022</v>
      </c>
      <c r="B34" s="103">
        <v>294234.51337198337</v>
      </c>
      <c r="C34" s="103">
        <v>11</v>
      </c>
      <c r="D34" s="103">
        <v>26748.592124725761</v>
      </c>
    </row>
    <row r="35" spans="1:4">
      <c r="A35" s="343">
        <v>39023</v>
      </c>
      <c r="B35" s="103">
        <v>550207.7454145893</v>
      </c>
      <c r="C35" s="103">
        <v>12</v>
      </c>
      <c r="D35" s="103">
        <v>45850.645451215772</v>
      </c>
    </row>
    <row r="36" spans="1:4">
      <c r="A36" s="343">
        <v>39024</v>
      </c>
      <c r="B36" s="103">
        <v>339121.81903114921</v>
      </c>
      <c r="C36" s="103">
        <v>11</v>
      </c>
      <c r="D36" s="103">
        <v>30829.256275559019</v>
      </c>
    </row>
    <row r="37" spans="1:4">
      <c r="A37" s="343">
        <v>39025</v>
      </c>
      <c r="B37" s="103">
        <v>686471.42838984728</v>
      </c>
      <c r="C37" s="103">
        <v>10</v>
      </c>
      <c r="D37" s="103">
        <v>68647.142838984728</v>
      </c>
    </row>
    <row r="38" spans="1:4">
      <c r="A38" s="343">
        <v>39026</v>
      </c>
      <c r="B38" s="103">
        <v>411896.76441744261</v>
      </c>
      <c r="C38" s="103">
        <v>11</v>
      </c>
      <c r="D38" s="103">
        <v>37445.160401585694</v>
      </c>
    </row>
    <row r="39" spans="1:4">
      <c r="A39" s="343">
        <v>39027</v>
      </c>
      <c r="B39" s="103">
        <v>438489.13619031466</v>
      </c>
      <c r="C39" s="103">
        <v>10</v>
      </c>
      <c r="D39" s="103">
        <v>43848.913619031468</v>
      </c>
    </row>
    <row r="40" spans="1:4">
      <c r="A40" s="343">
        <v>39028</v>
      </c>
      <c r="B40" s="103">
        <v>163131.19810123878</v>
      </c>
      <c r="C40" s="103">
        <v>9</v>
      </c>
      <c r="D40" s="103">
        <v>18125.688677915419</v>
      </c>
    </row>
    <row r="41" spans="1:4">
      <c r="A41" s="343">
        <v>39029</v>
      </c>
      <c r="B41" s="103">
        <v>313644.32334810996</v>
      </c>
      <c r="C41" s="103">
        <v>9</v>
      </c>
      <c r="D41" s="103">
        <v>34849.369260901105</v>
      </c>
    </row>
    <row r="42" spans="1:4">
      <c r="A42" s="343">
        <v>39030</v>
      </c>
      <c r="B42" s="103">
        <v>341861.09075135627</v>
      </c>
      <c r="C42" s="103">
        <v>12</v>
      </c>
      <c r="D42" s="103">
        <v>28488.424229279688</v>
      </c>
    </row>
    <row r="43" spans="1:4">
      <c r="A43" s="343">
        <v>39031</v>
      </c>
      <c r="B43" s="103">
        <v>147846.87309881506</v>
      </c>
      <c r="C43" s="103">
        <v>8</v>
      </c>
      <c r="D43" s="103">
        <v>18480.859137351883</v>
      </c>
    </row>
    <row r="44" spans="1:4">
      <c r="A44" s="343">
        <v>39032</v>
      </c>
      <c r="B44" s="103">
        <v>87948.33011647861</v>
      </c>
      <c r="C44" s="103">
        <v>5</v>
      </c>
      <c r="D44" s="103">
        <v>17589.666023295722</v>
      </c>
    </row>
    <row r="45" spans="1:4">
      <c r="A45" s="343">
        <v>39033</v>
      </c>
      <c r="B45" s="103">
        <v>862858.20439353574</v>
      </c>
      <c r="C45" s="103">
        <v>15</v>
      </c>
      <c r="D45" s="103">
        <v>57523.88029290238</v>
      </c>
    </row>
    <row r="46" spans="1:4">
      <c r="A46" s="343">
        <v>39034</v>
      </c>
      <c r="B46" s="103">
        <v>277232.81719074328</v>
      </c>
      <c r="C46" s="103">
        <v>10</v>
      </c>
      <c r="D46" s="103">
        <v>27723.28171907433</v>
      </c>
    </row>
    <row r="47" spans="1:4">
      <c r="A47" s="343">
        <v>39035</v>
      </c>
      <c r="B47" s="103">
        <v>528773.30443270551</v>
      </c>
      <c r="C47" s="103">
        <v>10</v>
      </c>
      <c r="D47" s="103">
        <v>52877.330443270548</v>
      </c>
    </row>
    <row r="48" spans="1:4">
      <c r="A48" s="343">
        <v>39036</v>
      </c>
      <c r="B48" s="103">
        <v>356598.21877561946</v>
      </c>
      <c r="C48" s="103">
        <v>17</v>
      </c>
      <c r="D48" s="103">
        <v>20976.365810330557</v>
      </c>
    </row>
    <row r="49" spans="1:4">
      <c r="A49" s="343">
        <v>39037</v>
      </c>
      <c r="B49" s="103">
        <v>227217.10363099986</v>
      </c>
      <c r="C49" s="103">
        <v>9</v>
      </c>
      <c r="D49" s="103">
        <v>25246.344847888875</v>
      </c>
    </row>
    <row r="50" spans="1:4">
      <c r="A50" s="343">
        <v>39038</v>
      </c>
      <c r="B50" s="103">
        <v>349742.26162404777</v>
      </c>
      <c r="C50" s="103">
        <v>11</v>
      </c>
      <c r="D50" s="103">
        <v>31794.751056731617</v>
      </c>
    </row>
    <row r="51" spans="1:4">
      <c r="A51" s="343">
        <v>39039</v>
      </c>
      <c r="B51" s="103">
        <v>514733.46606433316</v>
      </c>
      <c r="C51" s="103">
        <v>11</v>
      </c>
      <c r="D51" s="103">
        <v>46793.951460393924</v>
      </c>
    </row>
    <row r="52" spans="1:4">
      <c r="A52" s="343">
        <v>39040</v>
      </c>
      <c r="B52" s="103">
        <v>303765.15372703795</v>
      </c>
      <c r="C52" s="103">
        <v>5</v>
      </c>
      <c r="D52" s="103">
        <v>60753.030745407588</v>
      </c>
    </row>
    <row r="53" spans="1:4">
      <c r="A53" s="343">
        <v>39041</v>
      </c>
      <c r="B53" s="103">
        <v>228112.41746405532</v>
      </c>
      <c r="C53" s="103">
        <v>8</v>
      </c>
      <c r="D53" s="103">
        <v>28514.052183006916</v>
      </c>
    </row>
    <row r="54" spans="1:4">
      <c r="A54" s="343">
        <v>39042</v>
      </c>
      <c r="B54" s="103">
        <v>140914.30300254023</v>
      </c>
      <c r="C54" s="103">
        <v>6</v>
      </c>
      <c r="D54" s="103">
        <v>23485.717167090039</v>
      </c>
    </row>
    <row r="55" spans="1:4">
      <c r="A55" s="343">
        <v>39043</v>
      </c>
      <c r="B55" s="103">
        <v>274043.37437316997</v>
      </c>
      <c r="C55" s="103">
        <v>8</v>
      </c>
      <c r="D55" s="103">
        <v>34255.421796646246</v>
      </c>
    </row>
    <row r="56" spans="1:4">
      <c r="A56" s="343">
        <v>39044</v>
      </c>
      <c r="B56" s="103">
        <v>378916.84789823694</v>
      </c>
      <c r="C56" s="103">
        <v>12</v>
      </c>
      <c r="D56" s="103">
        <v>31576.403991519746</v>
      </c>
    </row>
    <row r="57" spans="1:4">
      <c r="A57" s="343">
        <v>39045</v>
      </c>
      <c r="B57" s="103">
        <v>535758.15092056605</v>
      </c>
      <c r="C57" s="103">
        <v>12</v>
      </c>
      <c r="D57" s="103">
        <v>44646.512576713838</v>
      </c>
    </row>
    <row r="58" spans="1:4">
      <c r="A58" s="343">
        <v>39046</v>
      </c>
      <c r="B58" s="103">
        <v>430547.31886259519</v>
      </c>
      <c r="C58" s="103">
        <v>13</v>
      </c>
      <c r="D58" s="103">
        <v>33119.024527891939</v>
      </c>
    </row>
    <row r="59" spans="1:4">
      <c r="A59" s="343">
        <v>39047</v>
      </c>
      <c r="B59" s="103">
        <v>281546.47908172343</v>
      </c>
      <c r="C59" s="103">
        <v>12</v>
      </c>
      <c r="D59" s="103">
        <v>23462.206590143618</v>
      </c>
    </row>
    <row r="60" spans="1:4">
      <c r="A60" s="343">
        <v>39048</v>
      </c>
      <c r="B60" s="103">
        <v>287500.37553863088</v>
      </c>
      <c r="C60" s="103">
        <v>11</v>
      </c>
      <c r="D60" s="103">
        <v>26136.39777623917</v>
      </c>
    </row>
    <row r="61" spans="1:4">
      <c r="A61" s="343">
        <v>39049</v>
      </c>
      <c r="B61" s="103">
        <v>200216.31965285772</v>
      </c>
      <c r="C61" s="103">
        <v>7</v>
      </c>
      <c r="D61" s="103">
        <v>28602.331378979674</v>
      </c>
    </row>
    <row r="62" spans="1:4">
      <c r="A62" s="343">
        <v>39050</v>
      </c>
      <c r="B62" s="103">
        <v>181893.67750792843</v>
      </c>
      <c r="C62" s="103">
        <v>6</v>
      </c>
      <c r="D62" s="103">
        <v>30315.61291798807</v>
      </c>
    </row>
    <row r="63" spans="1:4">
      <c r="A63" s="343">
        <v>39051</v>
      </c>
      <c r="B63" s="103">
        <v>331846.0153787501</v>
      </c>
      <c r="C63" s="103">
        <v>12</v>
      </c>
      <c r="D63" s="103">
        <v>27653.834614895841</v>
      </c>
    </row>
    <row r="64" spans="1:4">
      <c r="A64" s="343">
        <v>39052</v>
      </c>
      <c r="B64" s="103">
        <v>528548.37107234867</v>
      </c>
      <c r="C64" s="103">
        <v>11</v>
      </c>
      <c r="D64" s="103">
        <v>48049.851915668063</v>
      </c>
    </row>
    <row r="65" spans="1:4">
      <c r="A65" s="343">
        <v>39053</v>
      </c>
      <c r="B65" s="103">
        <v>687061.73920862994</v>
      </c>
      <c r="C65" s="103">
        <v>7</v>
      </c>
      <c r="D65" s="103">
        <v>98151.677029804283</v>
      </c>
    </row>
    <row r="66" spans="1:4">
      <c r="A66" s="343">
        <v>39054</v>
      </c>
      <c r="B66" s="103">
        <v>468814.52663037862</v>
      </c>
      <c r="C66" s="103">
        <v>10</v>
      </c>
      <c r="D66" s="103">
        <v>46881.45266303786</v>
      </c>
    </row>
    <row r="67" spans="1:4">
      <c r="A67" s="343">
        <v>39055</v>
      </c>
      <c r="B67" s="103">
        <v>463050.29417507513</v>
      </c>
      <c r="C67" s="103">
        <v>10</v>
      </c>
      <c r="D67" s="103">
        <v>46305.029417507511</v>
      </c>
    </row>
    <row r="68" spans="1:4">
      <c r="A68" s="343">
        <v>39056</v>
      </c>
      <c r="B68" s="103">
        <v>321986.57883352606</v>
      </c>
      <c r="C68" s="103">
        <v>9</v>
      </c>
      <c r="D68" s="103">
        <v>35776.286537058448</v>
      </c>
    </row>
    <row r="69" spans="1:4">
      <c r="A69" s="343">
        <v>39057</v>
      </c>
      <c r="B69" s="103">
        <v>1051948.6959423493</v>
      </c>
      <c r="C69" s="103">
        <v>14</v>
      </c>
      <c r="D69" s="103">
        <v>75139.19256731066</v>
      </c>
    </row>
    <row r="70" spans="1:4">
      <c r="A70" s="343">
        <v>39058</v>
      </c>
      <c r="B70" s="103">
        <v>278258.49767819961</v>
      </c>
      <c r="C70" s="103">
        <v>11</v>
      </c>
      <c r="D70" s="103">
        <v>25296.22706165451</v>
      </c>
    </row>
    <row r="71" spans="1:4">
      <c r="A71" s="343">
        <v>39059</v>
      </c>
      <c r="B71" s="103">
        <v>289433.41017728968</v>
      </c>
      <c r="C71" s="103">
        <v>10</v>
      </c>
      <c r="D71" s="103">
        <v>28943.34101772897</v>
      </c>
    </row>
    <row r="72" spans="1:4">
      <c r="A72" s="343">
        <v>39060</v>
      </c>
      <c r="B72" s="103">
        <v>350248.94660684041</v>
      </c>
      <c r="C72" s="103">
        <v>12</v>
      </c>
      <c r="D72" s="103">
        <v>29187.412217236702</v>
      </c>
    </row>
    <row r="73" spans="1:4">
      <c r="A73" s="343">
        <v>39061</v>
      </c>
      <c r="B73" s="103">
        <v>256821.93170268543</v>
      </c>
      <c r="C73" s="103">
        <v>7</v>
      </c>
      <c r="D73" s="103">
        <v>36688.847386097921</v>
      </c>
    </row>
    <row r="74" spans="1:4">
      <c r="A74" s="343">
        <v>39062</v>
      </c>
      <c r="B74" s="103">
        <v>259829.87534060955</v>
      </c>
      <c r="C74" s="103">
        <v>9</v>
      </c>
      <c r="D74" s="103">
        <v>28869.986148956617</v>
      </c>
    </row>
    <row r="75" spans="1:4">
      <c r="A75" s="343">
        <v>39063</v>
      </c>
      <c r="B75" s="103">
        <v>124159.99564283522</v>
      </c>
      <c r="C75" s="103">
        <v>5</v>
      </c>
      <c r="D75" s="103">
        <v>24831.999128567044</v>
      </c>
    </row>
    <row r="76" spans="1:4">
      <c r="A76" s="343">
        <v>39064</v>
      </c>
      <c r="B76" s="103">
        <v>388021.79472272069</v>
      </c>
      <c r="C76" s="103">
        <v>15</v>
      </c>
      <c r="D76" s="103">
        <v>25868.119648181379</v>
      </c>
    </row>
    <row r="77" spans="1:4">
      <c r="A77" s="343">
        <v>39065</v>
      </c>
      <c r="B77" s="103">
        <v>318581.96823826729</v>
      </c>
      <c r="C77" s="103">
        <v>12</v>
      </c>
      <c r="D77" s="103">
        <v>26548.497353188941</v>
      </c>
    </row>
    <row r="78" spans="1:4">
      <c r="A78" s="343">
        <v>39066</v>
      </c>
      <c r="B78" s="103">
        <v>158815.79516601388</v>
      </c>
      <c r="C78" s="103">
        <v>9</v>
      </c>
      <c r="D78" s="103">
        <v>17646.199462890432</v>
      </c>
    </row>
    <row r="79" spans="1:4">
      <c r="A79" s="343">
        <v>39067</v>
      </c>
      <c r="B79" s="103">
        <v>317516.10881640436</v>
      </c>
      <c r="C79" s="103">
        <v>15</v>
      </c>
      <c r="D79" s="103">
        <v>21167.740587760291</v>
      </c>
    </row>
    <row r="80" spans="1:4">
      <c r="A80" s="343">
        <v>39068</v>
      </c>
      <c r="B80" s="103">
        <v>332648.0529928566</v>
      </c>
      <c r="C80" s="103">
        <v>14</v>
      </c>
      <c r="D80" s="103">
        <v>23760.575213775472</v>
      </c>
    </row>
    <row r="81" spans="1:4">
      <c r="A81" s="343">
        <v>39069</v>
      </c>
      <c r="B81" s="103">
        <v>244226.45295580072</v>
      </c>
      <c r="C81" s="103">
        <v>13</v>
      </c>
      <c r="D81" s="103">
        <v>18786.650227369286</v>
      </c>
    </row>
    <row r="82" spans="1:4">
      <c r="A82" s="343">
        <v>39070</v>
      </c>
      <c r="B82" s="103">
        <v>502910.45099471178</v>
      </c>
      <c r="C82" s="103">
        <v>16</v>
      </c>
      <c r="D82" s="103">
        <v>31431.903187169486</v>
      </c>
    </row>
    <row r="83" spans="1:4">
      <c r="A83" s="343">
        <v>39071</v>
      </c>
      <c r="B83" s="103">
        <v>243214.47534215602</v>
      </c>
      <c r="C83" s="103">
        <v>11</v>
      </c>
      <c r="D83" s="103">
        <v>22110.406849286912</v>
      </c>
    </row>
    <row r="84" spans="1:4">
      <c r="A84" s="343">
        <v>39072</v>
      </c>
      <c r="B84" s="103">
        <v>410190.37930354133</v>
      </c>
      <c r="C84" s="103">
        <v>8</v>
      </c>
      <c r="D84" s="103">
        <v>51273.797412942666</v>
      </c>
    </row>
    <row r="85" spans="1:4">
      <c r="A85" s="343">
        <v>39073</v>
      </c>
      <c r="B85" s="103">
        <v>321662.83237195434</v>
      </c>
      <c r="C85" s="103">
        <v>11</v>
      </c>
      <c r="D85" s="103">
        <v>29242.075670177666</v>
      </c>
    </row>
    <row r="86" spans="1:4">
      <c r="A86" s="343">
        <v>39074</v>
      </c>
      <c r="B86" s="103">
        <v>373998.66137642728</v>
      </c>
      <c r="C86" s="103">
        <v>4</v>
      </c>
      <c r="D86" s="103">
        <v>93499.665344106819</v>
      </c>
    </row>
    <row r="87" spans="1:4">
      <c r="A87" s="343">
        <v>39075</v>
      </c>
      <c r="B87" s="103">
        <v>112899.50036243154</v>
      </c>
      <c r="C87" s="103">
        <v>7</v>
      </c>
      <c r="D87" s="103">
        <v>16128.500051775934</v>
      </c>
    </row>
    <row r="88" spans="1:4">
      <c r="A88" s="343">
        <v>39076</v>
      </c>
      <c r="B88" s="103">
        <v>409050.87430838862</v>
      </c>
      <c r="C88" s="103">
        <v>10</v>
      </c>
      <c r="D88" s="103">
        <v>40905.087430838859</v>
      </c>
    </row>
    <row r="89" spans="1:4">
      <c r="A89" s="343">
        <v>39077</v>
      </c>
      <c r="B89" s="103">
        <v>482599.64212562493</v>
      </c>
      <c r="C89" s="103">
        <v>12</v>
      </c>
      <c r="D89" s="103">
        <v>40216.63684380208</v>
      </c>
    </row>
    <row r="90" spans="1:4">
      <c r="A90" s="343">
        <v>39078</v>
      </c>
      <c r="B90" s="103">
        <v>524454.35922018392</v>
      </c>
      <c r="C90" s="103">
        <v>13</v>
      </c>
      <c r="D90" s="103">
        <v>40342.643016937225</v>
      </c>
    </row>
    <row r="91" spans="1:4">
      <c r="A91" s="343">
        <v>39079</v>
      </c>
      <c r="B91" s="103">
        <v>489300.8170738304</v>
      </c>
      <c r="C91" s="103">
        <v>15</v>
      </c>
      <c r="D91" s="103">
        <v>32620.054471588694</v>
      </c>
    </row>
    <row r="92" spans="1:4">
      <c r="A92" s="343">
        <v>39080</v>
      </c>
      <c r="B92" s="103">
        <v>854167.72975424957</v>
      </c>
      <c r="C92" s="103">
        <v>21</v>
      </c>
      <c r="D92" s="103">
        <v>40674.653797821411</v>
      </c>
    </row>
    <row r="93" spans="1:4">
      <c r="A93" s="343">
        <v>39081</v>
      </c>
      <c r="B93" s="103">
        <v>778954.55569424934</v>
      </c>
      <c r="C93" s="103">
        <v>14</v>
      </c>
      <c r="D93" s="103">
        <v>55639.611121017813</v>
      </c>
    </row>
    <row r="94" spans="1:4">
      <c r="A94" s="343">
        <v>39082</v>
      </c>
      <c r="B94" s="103">
        <v>370618.39975069911</v>
      </c>
      <c r="C94" s="103">
        <v>10</v>
      </c>
      <c r="D94" s="103">
        <v>37061.83997506991</v>
      </c>
    </row>
    <row r="95" spans="1:4">
      <c r="A95" s="343">
        <v>39083</v>
      </c>
      <c r="B95" s="103">
        <v>595996.55168325559</v>
      </c>
      <c r="C95" s="103">
        <v>10</v>
      </c>
      <c r="D95" s="103">
        <v>59599.65516832556</v>
      </c>
    </row>
    <row r="96" spans="1:4">
      <c r="A96" s="343">
        <v>39084</v>
      </c>
      <c r="B96" s="103">
        <v>521284.85540171352</v>
      </c>
      <c r="C96" s="103">
        <v>17</v>
      </c>
      <c r="D96" s="103">
        <v>30663.815023630206</v>
      </c>
    </row>
    <row r="97" spans="1:4">
      <c r="A97" s="343">
        <v>39085</v>
      </c>
      <c r="B97" s="103">
        <v>180032.31627054833</v>
      </c>
      <c r="C97" s="103">
        <v>6</v>
      </c>
      <c r="D97" s="103">
        <v>30005.386045091389</v>
      </c>
    </row>
    <row r="98" spans="1:4">
      <c r="A98" s="343">
        <v>39086</v>
      </c>
      <c r="B98" s="103">
        <v>240599.73729207044</v>
      </c>
      <c r="C98" s="103">
        <v>5</v>
      </c>
      <c r="D98" s="103">
        <v>48119.947458414084</v>
      </c>
    </row>
    <row r="99" spans="1:4">
      <c r="A99" s="343">
        <v>39087</v>
      </c>
      <c r="B99" s="103">
        <v>368959.46232425637</v>
      </c>
      <c r="C99" s="103">
        <v>11</v>
      </c>
      <c r="D99" s="103">
        <v>33541.769302205124</v>
      </c>
    </row>
    <row r="100" spans="1:4">
      <c r="A100" s="343">
        <v>39088</v>
      </c>
      <c r="B100" s="103">
        <v>715786.83871738147</v>
      </c>
      <c r="C100" s="103">
        <v>14</v>
      </c>
      <c r="D100" s="103">
        <v>51127.631336955819</v>
      </c>
    </row>
    <row r="101" spans="1:4">
      <c r="A101" s="343">
        <v>39089</v>
      </c>
      <c r="B101" s="103">
        <v>180677.09448361752</v>
      </c>
      <c r="C101" s="103">
        <v>7</v>
      </c>
      <c r="D101" s="103">
        <v>25811.013497659646</v>
      </c>
    </row>
    <row r="102" spans="1:4">
      <c r="A102" s="343">
        <v>39090</v>
      </c>
      <c r="B102" s="103">
        <v>330009.57256256219</v>
      </c>
      <c r="C102" s="103">
        <v>11</v>
      </c>
      <c r="D102" s="103">
        <v>30000.870232960198</v>
      </c>
    </row>
    <row r="103" spans="1:4">
      <c r="A103" s="343" t="s">
        <v>505</v>
      </c>
      <c r="B103" s="103">
        <v>37032153.268263236</v>
      </c>
      <c r="C103" s="103">
        <v>1010</v>
      </c>
      <c r="D103" s="103">
        <v>36665.498285409143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4"/>
  <sheetViews>
    <sheetView tabSelected="1" workbookViewId="0">
      <selection activeCell="B3" sqref="B3"/>
    </sheetView>
  </sheetViews>
  <sheetFormatPr defaultColWidth="8.81640625" defaultRowHeight="14.5"/>
  <cols>
    <col min="1" max="1" width="8.81640625" style="181"/>
    <col min="2" max="2" width="49.36328125" style="181" customWidth="1"/>
    <col min="3" max="4" width="11.81640625" style="181" customWidth="1"/>
    <col min="5" max="5" width="10.08984375" style="181" bestFit="1" customWidth="1"/>
    <col min="6" max="6" width="11.08984375" style="181" bestFit="1" customWidth="1"/>
    <col min="7" max="7" width="10.08984375" style="181" bestFit="1" customWidth="1"/>
    <col min="8" max="16384" width="8.81640625" style="181"/>
  </cols>
  <sheetData>
    <row r="1" spans="2:7" ht="20">
      <c r="B1" s="179" t="str">
        <f>C7</f>
        <v>American Captive Company</v>
      </c>
    </row>
    <row r="7" spans="2:7">
      <c r="B7" s="181" t="s">
        <v>197</v>
      </c>
      <c r="C7" s="109" t="s">
        <v>198</v>
      </c>
      <c r="D7" s="109"/>
    </row>
    <row r="9" spans="2:7">
      <c r="B9" s="181" t="s">
        <v>89</v>
      </c>
      <c r="C9" s="328">
        <v>2017</v>
      </c>
      <c r="D9" s="328">
        <v>2018</v>
      </c>
    </row>
    <row r="10" spans="2:7">
      <c r="C10" s="241"/>
      <c r="D10" s="241"/>
    </row>
    <row r="11" spans="2:7">
      <c r="B11" s="181" t="s">
        <v>90</v>
      </c>
      <c r="C11" s="329">
        <v>42735</v>
      </c>
      <c r="D11" s="329">
        <v>43100</v>
      </c>
    </row>
    <row r="12" spans="2:7">
      <c r="C12" s="241"/>
      <c r="D12" s="241"/>
    </row>
    <row r="13" spans="2:7">
      <c r="B13" s="181" t="s">
        <v>57</v>
      </c>
      <c r="C13" s="328">
        <v>2019</v>
      </c>
      <c r="D13" s="241"/>
    </row>
    <row r="14" spans="2:7">
      <c r="C14" s="241"/>
      <c r="D14" s="241"/>
    </row>
    <row r="15" spans="2:7">
      <c r="C15" s="181" t="s">
        <v>265</v>
      </c>
      <c r="D15" s="181" t="s">
        <v>266</v>
      </c>
      <c r="E15" s="181" t="s">
        <v>267</v>
      </c>
      <c r="F15" s="181" t="s">
        <v>268</v>
      </c>
      <c r="G15" s="181" t="s">
        <v>269</v>
      </c>
    </row>
    <row r="16" spans="2:7">
      <c r="B16" s="181" t="s">
        <v>252</v>
      </c>
      <c r="C16" s="331">
        <v>250000</v>
      </c>
      <c r="D16" s="331">
        <v>100000</v>
      </c>
      <c r="E16" s="331">
        <v>50000</v>
      </c>
      <c r="F16" s="331">
        <v>250000</v>
      </c>
      <c r="G16" s="331">
        <v>50000</v>
      </c>
    </row>
    <row r="18" spans="1:8">
      <c r="A18" s="242"/>
      <c r="B18" s="242" t="s">
        <v>483</v>
      </c>
      <c r="C18" s="330" t="s">
        <v>485</v>
      </c>
      <c r="D18" s="243"/>
      <c r="E18" s="242"/>
      <c r="F18" s="242"/>
      <c r="G18" s="242"/>
    </row>
    <row r="19" spans="1:8">
      <c r="A19" s="242"/>
      <c r="B19" s="242" t="s">
        <v>489</v>
      </c>
      <c r="C19" s="330" t="s">
        <v>490</v>
      </c>
      <c r="D19" s="243"/>
      <c r="E19" s="242"/>
      <c r="F19" s="242"/>
      <c r="G19" s="242"/>
    </row>
    <row r="20" spans="1:8" s="243" customFormat="1">
      <c r="B20" s="242" t="s">
        <v>484</v>
      </c>
      <c r="C20" s="327" t="s">
        <v>482</v>
      </c>
      <c r="D20" s="242"/>
    </row>
    <row r="21" spans="1:8" s="243" customFormat="1"/>
    <row r="22" spans="1:8" s="243" customFormat="1" ht="43.5">
      <c r="B22" s="332" t="s">
        <v>497</v>
      </c>
      <c r="C22" s="333" t="s">
        <v>493</v>
      </c>
      <c r="D22" s="334"/>
      <c r="E22" s="333" t="s">
        <v>494</v>
      </c>
      <c r="F22" s="334"/>
      <c r="G22" s="333" t="s">
        <v>495</v>
      </c>
      <c r="H22" s="335"/>
    </row>
    <row r="23" spans="1:8" s="243" customFormat="1" ht="8" customHeight="1">
      <c r="B23" s="332"/>
      <c r="C23" s="333"/>
      <c r="D23" s="336"/>
      <c r="E23" s="337"/>
      <c r="F23" s="336"/>
      <c r="G23" s="337"/>
      <c r="H23" s="338"/>
    </row>
    <row r="24" spans="1:8" s="243" customFormat="1" ht="43.5">
      <c r="B24" s="332" t="s">
        <v>496</v>
      </c>
      <c r="C24" s="333" t="s">
        <v>493</v>
      </c>
      <c r="D24" s="334"/>
      <c r="E24" s="333" t="s">
        <v>494</v>
      </c>
      <c r="F24" s="334"/>
      <c r="G24" s="333" t="s">
        <v>495</v>
      </c>
      <c r="H24" s="335"/>
    </row>
    <row r="25" spans="1:8" s="243" customFormat="1" ht="8" customHeight="1">
      <c r="B25" s="332"/>
      <c r="C25" s="333"/>
      <c r="D25" s="336"/>
      <c r="E25" s="337"/>
      <c r="F25" s="336"/>
      <c r="G25" s="337"/>
      <c r="H25" s="338"/>
    </row>
    <row r="26" spans="1:8" s="243" customFormat="1" ht="43.5">
      <c r="B26" s="332" t="s">
        <v>498</v>
      </c>
      <c r="C26" s="333" t="s">
        <v>493</v>
      </c>
      <c r="D26" s="334"/>
      <c r="E26" s="333" t="s">
        <v>494</v>
      </c>
      <c r="F26" s="334"/>
      <c r="G26" s="333" t="s">
        <v>495</v>
      </c>
      <c r="H26" s="335"/>
    </row>
    <row r="27" spans="1:8" s="243" customFormat="1"/>
    <row r="28" spans="1:8" s="243" customFormat="1"/>
    <row r="29" spans="1:8" s="243" customFormat="1"/>
    <row r="30" spans="1:8" s="243" customFormat="1" hidden="1">
      <c r="B30" s="239">
        <v>25000</v>
      </c>
      <c r="C30" s="243" t="s">
        <v>485</v>
      </c>
      <c r="E30" s="243" t="s">
        <v>490</v>
      </c>
    </row>
    <row r="31" spans="1:8" s="243" customFormat="1" hidden="1">
      <c r="B31" s="239">
        <v>50000</v>
      </c>
      <c r="C31" s="243" t="s">
        <v>486</v>
      </c>
      <c r="E31" s="243" t="s">
        <v>491</v>
      </c>
    </row>
    <row r="32" spans="1:8" s="243" customFormat="1" hidden="1">
      <c r="B32" s="239">
        <v>100000</v>
      </c>
      <c r="C32" s="243" t="s">
        <v>487</v>
      </c>
      <c r="E32" s="243" t="s">
        <v>492</v>
      </c>
    </row>
    <row r="33" spans="2:7" s="243" customFormat="1" hidden="1">
      <c r="B33" s="239">
        <v>250000</v>
      </c>
      <c r="C33" s="243" t="s">
        <v>488</v>
      </c>
    </row>
    <row r="34" spans="2:7" s="243" customFormat="1" hidden="1">
      <c r="B34" s="239">
        <v>500000</v>
      </c>
    </row>
    <row r="35" spans="2:7" s="243" customFormat="1" hidden="1">
      <c r="B35" s="239">
        <v>1000000</v>
      </c>
    </row>
    <row r="36" spans="2:7" s="243" customFormat="1" hidden="1">
      <c r="B36" s="239" t="s">
        <v>251</v>
      </c>
    </row>
    <row r="37" spans="2:7" s="243" customFormat="1"/>
    <row r="38" spans="2:7">
      <c r="B38" s="242"/>
      <c r="C38" s="242"/>
      <c r="D38" s="242"/>
      <c r="E38" s="242"/>
      <c r="F38" s="242"/>
      <c r="G38" s="242"/>
    </row>
    <row r="39" spans="2:7">
      <c r="B39" s="242"/>
      <c r="C39" s="242"/>
      <c r="D39" s="242"/>
      <c r="E39" s="242"/>
      <c r="F39" s="242"/>
      <c r="G39" s="242"/>
    </row>
    <row r="40" spans="2:7">
      <c r="C40" s="242"/>
      <c r="D40" s="242"/>
      <c r="E40" s="242"/>
      <c r="F40" s="242"/>
      <c r="G40" s="242"/>
    </row>
    <row r="41" spans="2:7">
      <c r="C41" s="242"/>
      <c r="D41" s="242"/>
      <c r="E41" s="242"/>
      <c r="F41" s="242"/>
      <c r="G41" s="242"/>
    </row>
    <row r="42" spans="2:7">
      <c r="C42" s="242"/>
      <c r="D42" s="242"/>
      <c r="E42" s="242"/>
      <c r="F42" s="242"/>
      <c r="G42" s="242"/>
    </row>
    <row r="43" spans="2:7">
      <c r="C43" s="242"/>
      <c r="D43" s="242"/>
      <c r="E43" s="242"/>
      <c r="F43" s="242"/>
      <c r="G43" s="242"/>
    </row>
    <row r="44" spans="2:7">
      <c r="B44" s="242"/>
      <c r="C44" s="242"/>
      <c r="D44" s="242"/>
      <c r="E44" s="242"/>
      <c r="F44" s="242"/>
      <c r="G44" s="242"/>
    </row>
  </sheetData>
  <phoneticPr fontId="26" type="noConversion"/>
  <dataValidations disablePrompts="1" count="4">
    <dataValidation type="list" allowBlank="1" showInputMessage="1" showErrorMessage="1" sqref="C20" xr:uid="{6D9AC229-6D19-4845-BFF7-9DA1160378BF}">
      <formula1>"T,Guass Mixture,Normal"</formula1>
    </dataValidation>
    <dataValidation type="list" allowBlank="1" showInputMessage="1" showErrorMessage="1" sqref="C16:G16" xr:uid="{00000000-0002-0000-0100-000000000000}">
      <formula1>$B$30:$B$36</formula1>
    </dataValidation>
    <dataValidation type="list" allowBlank="1" showInputMessage="1" showErrorMessage="1" sqref="C18" xr:uid="{DB084FB2-DF41-483A-B33C-06119ADBE1B5}">
      <formula1>$C$30:$C$33</formula1>
    </dataValidation>
    <dataValidation type="list" allowBlank="1" showInputMessage="1" showErrorMessage="1" sqref="C19" xr:uid="{8E61B08D-2548-494D-B16E-C70837AA38AF}">
      <formula1>$E$30:$E$32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00" r:id="rId4" name="CommandButton1">
          <controlPr defaultSize="0" autoLine="0" r:id="rId5">
            <anchor moveWithCells="1">
              <from>
                <xdr:col>4</xdr:col>
                <xdr:colOff>476250</xdr:colOff>
                <xdr:row>5</xdr:row>
                <xdr:rowOff>177800</xdr:rowOff>
              </from>
              <to>
                <xdr:col>6</xdr:col>
                <xdr:colOff>596900</xdr:colOff>
                <xdr:row>8</xdr:row>
                <xdr:rowOff>76200</xdr:rowOff>
              </to>
            </anchor>
          </controlPr>
        </control>
      </mc:Choice>
      <mc:Fallback>
        <control shapeId="33800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K56"/>
  <sheetViews>
    <sheetView workbookViewId="0">
      <selection activeCell="M16" sqref="M16"/>
    </sheetView>
  </sheetViews>
  <sheetFormatPr defaultColWidth="8.90625" defaultRowHeight="14.5"/>
  <cols>
    <col min="1" max="1" width="8.90625" style="180"/>
    <col min="2" max="6" width="1.81640625" style="180" customWidth="1"/>
    <col min="7" max="7" width="37.36328125" style="180" customWidth="1"/>
    <col min="8" max="8" width="12.81640625" style="180" bestFit="1" customWidth="1"/>
    <col min="9" max="9" width="1.81640625" style="180" customWidth="1"/>
    <col min="10" max="10" width="12.81640625" style="180" bestFit="1" customWidth="1"/>
    <col min="11" max="16384" width="8.90625" style="180"/>
  </cols>
  <sheetData>
    <row r="1" spans="1:11" ht="20">
      <c r="A1" s="179"/>
      <c r="B1" s="179" t="str">
        <f>'1-Start'!C7</f>
        <v>American Captive Company</v>
      </c>
      <c r="H1" s="181"/>
      <c r="J1" s="181"/>
    </row>
    <row r="2" spans="1:11" ht="19.25" customHeight="1">
      <c r="B2" s="185" t="s">
        <v>179</v>
      </c>
      <c r="H2" s="181"/>
      <c r="J2" s="181"/>
    </row>
    <row r="3" spans="1:11" ht="3" customHeight="1">
      <c r="B3" s="186"/>
      <c r="C3" s="186"/>
      <c r="D3" s="186"/>
      <c r="E3" s="186"/>
      <c r="F3" s="186"/>
      <c r="G3" s="186"/>
      <c r="H3" s="186"/>
      <c r="I3" s="186"/>
      <c r="J3" s="186"/>
      <c r="K3" s="186"/>
    </row>
    <row r="4" spans="1:11" ht="15" thickBot="1">
      <c r="H4" s="187"/>
      <c r="I4" s="187" t="s">
        <v>58</v>
      </c>
      <c r="J4" s="182"/>
    </row>
    <row r="5" spans="1:11">
      <c r="B5" s="183" t="s">
        <v>180</v>
      </c>
      <c r="H5" s="184">
        <v>2017</v>
      </c>
      <c r="I5" s="184"/>
      <c r="J5" s="184">
        <v>2018</v>
      </c>
    </row>
    <row r="6" spans="1:11">
      <c r="H6" s="181"/>
      <c r="J6" s="181"/>
    </row>
    <row r="7" spans="1:11">
      <c r="C7" s="180" t="s">
        <v>86</v>
      </c>
      <c r="H7" s="189">
        <v>626250</v>
      </c>
      <c r="J7" s="190">
        <f>650000-4665</f>
        <v>645335</v>
      </c>
    </row>
    <row r="8" spans="1:11">
      <c r="C8" s="180" t="s">
        <v>181</v>
      </c>
      <c r="H8" s="189">
        <v>544243</v>
      </c>
      <c r="J8" s="190">
        <v>1195748</v>
      </c>
    </row>
    <row r="9" spans="1:11">
      <c r="C9" s="188" t="s">
        <v>314</v>
      </c>
      <c r="H9" s="189">
        <v>0</v>
      </c>
      <c r="J9" s="190">
        <v>0</v>
      </c>
    </row>
    <row r="10" spans="1:11">
      <c r="C10" s="180" t="s">
        <v>110</v>
      </c>
      <c r="H10" s="189">
        <v>0</v>
      </c>
      <c r="J10" s="190">
        <v>0</v>
      </c>
    </row>
    <row r="11" spans="1:11">
      <c r="C11" s="180" t="s">
        <v>125</v>
      </c>
      <c r="H11" s="189">
        <v>0</v>
      </c>
      <c r="J11" s="190">
        <v>0</v>
      </c>
    </row>
    <row r="12" spans="1:11">
      <c r="C12" s="180" t="s">
        <v>182</v>
      </c>
      <c r="H12" s="181">
        <f>SUM(H7:H11)</f>
        <v>1170493</v>
      </c>
      <c r="J12" s="181">
        <f>SUM(J7:J11)</f>
        <v>1841083</v>
      </c>
    </row>
    <row r="13" spans="1:11">
      <c r="H13" s="181"/>
      <c r="J13" s="181"/>
    </row>
    <row r="14" spans="1:11">
      <c r="C14" s="188" t="s">
        <v>326</v>
      </c>
      <c r="H14" s="190">
        <v>0</v>
      </c>
      <c r="J14" s="190">
        <v>0</v>
      </c>
    </row>
    <row r="15" spans="1:11">
      <c r="B15" s="183" t="s">
        <v>183</v>
      </c>
      <c r="H15" s="181"/>
      <c r="J15" s="181"/>
    </row>
    <row r="16" spans="1:11">
      <c r="H16" s="181"/>
      <c r="J16" s="181"/>
    </row>
    <row r="17" spans="3:11">
      <c r="C17" s="180" t="s">
        <v>184</v>
      </c>
      <c r="H17" s="190">
        <v>110605</v>
      </c>
      <c r="J17" s="190">
        <v>112938</v>
      </c>
    </row>
    <row r="18" spans="3:11">
      <c r="C18" s="180" t="s">
        <v>185</v>
      </c>
      <c r="H18" s="190">
        <f>58112-287</f>
        <v>57825</v>
      </c>
      <c r="J18" s="190">
        <f>65177+51888</f>
        <v>117065</v>
      </c>
    </row>
    <row r="19" spans="3:11">
      <c r="H19" s="181"/>
      <c r="J19" s="181"/>
    </row>
    <row r="20" spans="3:11">
      <c r="C20" s="180" t="s">
        <v>186</v>
      </c>
      <c r="H20" s="191">
        <f>H18+H17</f>
        <v>168430</v>
      </c>
      <c r="J20" s="191">
        <f>J18+J17</f>
        <v>230003</v>
      </c>
    </row>
    <row r="21" spans="3:11">
      <c r="H21" s="181"/>
      <c r="J21" s="181"/>
    </row>
    <row r="22" spans="3:11">
      <c r="C22" s="180" t="s">
        <v>164</v>
      </c>
      <c r="H22" s="191">
        <f>H12-H20</f>
        <v>1002063</v>
      </c>
      <c r="J22" s="191">
        <f>J12-J20</f>
        <v>1611080</v>
      </c>
      <c r="K22" s="191"/>
    </row>
    <row r="23" spans="3:11">
      <c r="H23" s="181"/>
      <c r="J23" s="181"/>
    </row>
    <row r="24" spans="3:11">
      <c r="C24" s="180" t="s">
        <v>163</v>
      </c>
      <c r="H24" s="181"/>
      <c r="J24" s="181"/>
    </row>
    <row r="25" spans="3:11">
      <c r="D25" s="180" t="s">
        <v>187</v>
      </c>
      <c r="H25" s="190">
        <v>57860</v>
      </c>
      <c r="J25" s="190">
        <v>61958</v>
      </c>
    </row>
    <row r="26" spans="3:11">
      <c r="D26" s="180" t="s">
        <v>188</v>
      </c>
      <c r="H26" s="190">
        <v>0</v>
      </c>
      <c r="J26" s="190">
        <v>0</v>
      </c>
    </row>
    <row r="27" spans="3:11">
      <c r="D27" s="180" t="s">
        <v>189</v>
      </c>
      <c r="H27" s="190">
        <v>0</v>
      </c>
      <c r="J27" s="190">
        <v>0</v>
      </c>
    </row>
    <row r="28" spans="3:11">
      <c r="D28" s="180" t="s">
        <v>190</v>
      </c>
      <c r="H28" s="190">
        <v>0</v>
      </c>
      <c r="J28" s="190">
        <v>0</v>
      </c>
    </row>
    <row r="29" spans="3:11">
      <c r="D29" s="180" t="s">
        <v>111</v>
      </c>
      <c r="H29" s="190">
        <v>5000</v>
      </c>
      <c r="J29" s="190">
        <v>5000</v>
      </c>
    </row>
    <row r="30" spans="3:11">
      <c r="D30" s="180" t="s">
        <v>191</v>
      </c>
      <c r="H30" s="190"/>
      <c r="J30" s="190">
        <v>0</v>
      </c>
    </row>
    <row r="31" spans="3:11">
      <c r="H31" s="181"/>
      <c r="J31" s="181"/>
    </row>
    <row r="32" spans="3:11">
      <c r="D32" s="180" t="s">
        <v>192</v>
      </c>
      <c r="H32" s="191">
        <f>SUM(H25:H30)</f>
        <v>62860</v>
      </c>
      <c r="J32" s="191">
        <f>SUM(J25:J30)</f>
        <v>66958</v>
      </c>
    </row>
    <row r="33" spans="2:10">
      <c r="H33" s="181"/>
      <c r="J33" s="181"/>
    </row>
    <row r="34" spans="2:10">
      <c r="C34" s="180" t="s">
        <v>193</v>
      </c>
      <c r="H34" s="191">
        <f>H22-H32</f>
        <v>939203</v>
      </c>
      <c r="J34" s="191">
        <f>J22-J32</f>
        <v>1544122</v>
      </c>
    </row>
    <row r="35" spans="2:10">
      <c r="H35" s="181"/>
      <c r="J35" s="181"/>
    </row>
    <row r="36" spans="2:10">
      <c r="H36" s="181"/>
      <c r="J36" s="181"/>
    </row>
    <row r="37" spans="2:10">
      <c r="B37" s="183" t="s">
        <v>168</v>
      </c>
      <c r="H37" s="181"/>
      <c r="J37" s="181"/>
    </row>
    <row r="38" spans="2:10">
      <c r="C38" s="180" t="s">
        <v>279</v>
      </c>
      <c r="H38" s="190">
        <v>69464</v>
      </c>
      <c r="J38" s="190">
        <v>103130</v>
      </c>
    </row>
    <row r="39" spans="2:10">
      <c r="C39" s="180" t="s">
        <v>194</v>
      </c>
      <c r="H39" s="190">
        <v>0</v>
      </c>
      <c r="J39" s="190">
        <v>0</v>
      </c>
    </row>
    <row r="40" spans="2:10">
      <c r="H40" s="181"/>
      <c r="J40" s="181"/>
    </row>
    <row r="41" spans="2:10">
      <c r="C41" s="180" t="s">
        <v>195</v>
      </c>
      <c r="H41" s="191">
        <f>H38+H39</f>
        <v>69464</v>
      </c>
      <c r="J41" s="191">
        <f>J38+J39</f>
        <v>103130</v>
      </c>
    </row>
    <row r="42" spans="2:10">
      <c r="H42" s="181"/>
      <c r="J42" s="181"/>
    </row>
    <row r="43" spans="2:10">
      <c r="B43" s="183" t="s">
        <v>347</v>
      </c>
      <c r="H43" s="181"/>
      <c r="J43" s="181"/>
    </row>
    <row r="44" spans="2:10">
      <c r="C44" s="180" t="s">
        <v>347</v>
      </c>
      <c r="H44" s="190">
        <v>0</v>
      </c>
      <c r="J44" s="190">
        <v>0</v>
      </c>
    </row>
    <row r="45" spans="2:10">
      <c r="H45" s="181"/>
      <c r="J45" s="181"/>
    </row>
    <row r="46" spans="2:10">
      <c r="H46" s="181"/>
      <c r="J46" s="181"/>
    </row>
    <row r="47" spans="2:10">
      <c r="H47" s="181"/>
      <c r="J47" s="181"/>
    </row>
    <row r="48" spans="2:10">
      <c r="B48" s="183" t="s">
        <v>112</v>
      </c>
      <c r="H48" s="191">
        <f>H41+H34+H44</f>
        <v>1008667</v>
      </c>
      <c r="J48" s="191">
        <f>J41+J34+J44</f>
        <v>1647252</v>
      </c>
    </row>
    <row r="49" spans="2:10">
      <c r="B49" s="183"/>
      <c r="H49" s="181"/>
      <c r="J49" s="181"/>
    </row>
    <row r="50" spans="2:10">
      <c r="B50" s="183" t="s">
        <v>196</v>
      </c>
      <c r="H50" s="190">
        <v>0</v>
      </c>
      <c r="J50" s="190">
        <v>0</v>
      </c>
    </row>
    <row r="51" spans="2:10">
      <c r="B51" s="183"/>
      <c r="H51" s="181"/>
      <c r="J51" s="181"/>
    </row>
    <row r="52" spans="2:10">
      <c r="B52" s="183" t="s">
        <v>113</v>
      </c>
      <c r="H52" s="190">
        <v>0</v>
      </c>
      <c r="J52" s="190">
        <v>0</v>
      </c>
    </row>
    <row r="53" spans="2:10">
      <c r="B53" s="183"/>
      <c r="H53" s="181"/>
      <c r="J53" s="181"/>
    </row>
    <row r="54" spans="2:10">
      <c r="B54" s="183" t="s">
        <v>162</v>
      </c>
      <c r="H54" s="191">
        <f>H48-H50-H52</f>
        <v>1008667</v>
      </c>
      <c r="J54" s="191">
        <f>J48-J50-J52</f>
        <v>1647252</v>
      </c>
    </row>
    <row r="55" spans="2:10">
      <c r="B55" s="183"/>
      <c r="H55" s="181"/>
      <c r="J55" s="181"/>
    </row>
    <row r="56" spans="2:10">
      <c r="B56" s="183"/>
      <c r="H56" s="181"/>
      <c r="J56" s="181"/>
    </row>
  </sheetData>
  <phoneticPr fontId="67" type="noConversion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L23"/>
  <sheetViews>
    <sheetView workbookViewId="0">
      <selection activeCell="B2" sqref="B2"/>
    </sheetView>
  </sheetViews>
  <sheetFormatPr defaultColWidth="8.90625" defaultRowHeight="14.5"/>
  <cols>
    <col min="1" max="1" width="8.90625" style="181"/>
    <col min="2" max="5" width="1.81640625" style="181" customWidth="1"/>
    <col min="6" max="6" width="53.81640625" style="181" customWidth="1"/>
    <col min="7" max="7" width="12.81640625" style="181" customWidth="1"/>
    <col min="8" max="8" width="1.81640625" style="181" customWidth="1"/>
    <col min="9" max="9" width="12.81640625" style="181" customWidth="1"/>
    <col min="10" max="16384" width="8.90625" style="181"/>
  </cols>
  <sheetData>
    <row r="1" spans="1:12" s="179" customFormat="1" ht="25.5" customHeight="1">
      <c r="B1" s="179" t="str">
        <f>'1-Start'!C7</f>
        <v>American Captive Company</v>
      </c>
      <c r="J1" s="192"/>
      <c r="L1" s="192"/>
    </row>
    <row r="2" spans="1:12" s="193" customFormat="1" ht="18.5">
      <c r="B2" s="185" t="s">
        <v>200</v>
      </c>
      <c r="I2" s="194"/>
      <c r="K2" s="194"/>
    </row>
    <row r="3" spans="1:12" ht="3.65" customHeight="1">
      <c r="A3" s="193"/>
      <c r="B3" s="186"/>
      <c r="C3" s="186"/>
      <c r="D3" s="186"/>
      <c r="E3" s="186"/>
      <c r="F3" s="186"/>
      <c r="G3" s="186"/>
      <c r="H3" s="186"/>
      <c r="I3" s="186"/>
      <c r="J3" s="186"/>
      <c r="K3" s="186"/>
    </row>
    <row r="4" spans="1:12" ht="15" thickBot="1">
      <c r="G4" s="195"/>
      <c r="H4" s="196" t="s">
        <v>88</v>
      </c>
      <c r="I4" s="195"/>
    </row>
    <row r="5" spans="1:12">
      <c r="B5" s="183" t="s">
        <v>201</v>
      </c>
      <c r="G5" s="197">
        <v>43100</v>
      </c>
      <c r="H5" s="184"/>
      <c r="I5" s="197">
        <v>43465</v>
      </c>
    </row>
    <row r="7" spans="1:12">
      <c r="C7" s="181" t="s">
        <v>281</v>
      </c>
      <c r="G7" s="198">
        <v>80759</v>
      </c>
      <c r="I7" s="198">
        <v>134949</v>
      </c>
    </row>
    <row r="8" spans="1:12">
      <c r="C8" s="181" t="s">
        <v>165</v>
      </c>
      <c r="G8" s="198">
        <v>0</v>
      </c>
      <c r="I8" s="198">
        <v>0</v>
      </c>
    </row>
    <row r="9" spans="1:12">
      <c r="C9" s="188" t="s">
        <v>317</v>
      </c>
      <c r="G9" s="198">
        <v>0</v>
      </c>
      <c r="I9" s="198">
        <v>0</v>
      </c>
    </row>
    <row r="10" spans="1:12">
      <c r="C10" s="181" t="s">
        <v>202</v>
      </c>
      <c r="G10" s="198">
        <v>1000000</v>
      </c>
      <c r="I10" s="198">
        <v>1725710</v>
      </c>
    </row>
    <row r="11" spans="1:12">
      <c r="C11" s="181" t="s">
        <v>203</v>
      </c>
      <c r="G11" s="198">
        <v>5000</v>
      </c>
      <c r="I11" s="198">
        <v>5000</v>
      </c>
    </row>
    <row r="12" spans="1:12">
      <c r="C12" s="181" t="s">
        <v>166</v>
      </c>
      <c r="G12" s="199">
        <f>SUM(G7:G11)</f>
        <v>1085759</v>
      </c>
      <c r="I12" s="199">
        <f>SUM(I7:I11)</f>
        <v>1865659</v>
      </c>
    </row>
    <row r="15" spans="1:12">
      <c r="B15" s="183" t="s">
        <v>204</v>
      </c>
    </row>
    <row r="17" spans="2:11">
      <c r="C17" s="181" t="s">
        <v>205</v>
      </c>
      <c r="G17" s="198">
        <f>64656+68112</f>
        <v>132768</v>
      </c>
      <c r="I17" s="198">
        <f>129833+120000</f>
        <v>249833</v>
      </c>
    </row>
    <row r="18" spans="2:11">
      <c r="C18" s="181" t="s">
        <v>206</v>
      </c>
      <c r="G18" s="198">
        <v>408748</v>
      </c>
      <c r="I18" s="198">
        <f>379165+35913+5000</f>
        <v>420078</v>
      </c>
    </row>
    <row r="19" spans="2:11">
      <c r="C19" s="181" t="s">
        <v>167</v>
      </c>
      <c r="G19" s="199">
        <f>G18+G17</f>
        <v>541516</v>
      </c>
      <c r="I19" s="199">
        <f>I18+I17</f>
        <v>669911</v>
      </c>
    </row>
    <row r="20" spans="2:11">
      <c r="G20" s="199"/>
      <c r="I20" s="199"/>
    </row>
    <row r="21" spans="2:11">
      <c r="B21" s="183" t="s">
        <v>169</v>
      </c>
      <c r="G21" s="199">
        <f>G12-G19</f>
        <v>544243</v>
      </c>
      <c r="I21" s="199">
        <f>I12-I19</f>
        <v>1195748</v>
      </c>
    </row>
    <row r="22" spans="2:11">
      <c r="B22" s="183"/>
    </row>
    <row r="23" spans="2:11" ht="5" customHeight="1">
      <c r="B23" s="186"/>
      <c r="C23" s="186"/>
      <c r="D23" s="186"/>
      <c r="E23" s="186"/>
      <c r="F23" s="186"/>
      <c r="G23" s="186"/>
      <c r="H23" s="186"/>
      <c r="I23" s="186"/>
      <c r="J23" s="186"/>
      <c r="K23" s="186"/>
    </row>
  </sheetData>
  <phoneticPr fontId="67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/>
  <dimension ref="B1:K29"/>
  <sheetViews>
    <sheetView workbookViewId="0">
      <selection activeCell="I27" sqref="I27"/>
    </sheetView>
  </sheetViews>
  <sheetFormatPr defaultColWidth="8.90625" defaultRowHeight="14.5"/>
  <cols>
    <col min="1" max="1" width="8.90625" style="181"/>
    <col min="2" max="5" width="1.81640625" style="181" customWidth="1"/>
    <col min="6" max="6" width="42.08984375" style="181" customWidth="1"/>
    <col min="7" max="7" width="18" style="181" bestFit="1" customWidth="1"/>
    <col min="8" max="8" width="1.81640625" style="181" customWidth="1"/>
    <col min="9" max="9" width="18" style="181" bestFit="1" customWidth="1"/>
    <col min="10" max="16384" width="8.90625" style="181"/>
  </cols>
  <sheetData>
    <row r="1" spans="2:11" ht="20">
      <c r="B1" s="179" t="str">
        <f>'1-Start'!C7</f>
        <v>American Captive Company</v>
      </c>
    </row>
    <row r="2" spans="2:11" ht="18.5">
      <c r="B2" s="185" t="s">
        <v>120</v>
      </c>
    </row>
    <row r="3" spans="2:11" ht="3" customHeight="1">
      <c r="B3" s="186"/>
      <c r="C3" s="203"/>
      <c r="D3" s="203"/>
      <c r="E3" s="203"/>
      <c r="F3" s="203"/>
      <c r="G3" s="203"/>
      <c r="H3" s="203"/>
      <c r="I3" s="204"/>
      <c r="J3" s="203"/>
      <c r="K3" s="204"/>
    </row>
    <row r="4" spans="2:11" ht="15" thickBot="1">
      <c r="G4" s="195"/>
      <c r="H4" s="205" t="s">
        <v>199</v>
      </c>
      <c r="I4" s="195"/>
    </row>
    <row r="5" spans="2:11">
      <c r="G5" s="197">
        <v>43100</v>
      </c>
      <c r="H5" s="184"/>
      <c r="I5" s="197">
        <v>43465</v>
      </c>
    </row>
    <row r="7" spans="2:11">
      <c r="B7" s="181" t="s">
        <v>212</v>
      </c>
      <c r="G7" s="198">
        <v>100000</v>
      </c>
      <c r="I7" s="198">
        <v>100000</v>
      </c>
    </row>
    <row r="8" spans="2:11">
      <c r="B8" s="181" t="s">
        <v>213</v>
      </c>
      <c r="G8" s="198">
        <v>1000000</v>
      </c>
      <c r="I8" s="198">
        <v>1000000</v>
      </c>
    </row>
    <row r="9" spans="2:11">
      <c r="B9" s="181" t="s">
        <v>319</v>
      </c>
      <c r="G9" s="231">
        <f>58112-359</f>
        <v>57753</v>
      </c>
      <c r="H9" s="200"/>
      <c r="I9" s="198">
        <f>65177-287</f>
        <v>64890</v>
      </c>
    </row>
    <row r="10" spans="2:11">
      <c r="B10" s="181" t="s">
        <v>321</v>
      </c>
      <c r="G10" s="233">
        <f>I10-'2-Income Statement'!H18</f>
        <v>74943</v>
      </c>
      <c r="I10" s="233">
        <f>'3-Balance Sheet'!G17</f>
        <v>132768</v>
      </c>
    </row>
    <row r="11" spans="2:11">
      <c r="B11" s="181" t="s">
        <v>322</v>
      </c>
      <c r="G11" s="232">
        <v>90000</v>
      </c>
      <c r="I11" s="233">
        <f>G10</f>
        <v>74943</v>
      </c>
    </row>
    <row r="12" spans="2:11">
      <c r="B12" s="181" t="s">
        <v>323</v>
      </c>
      <c r="G12" s="198">
        <v>600000</v>
      </c>
      <c r="I12" s="233">
        <f>'2-Income Statement'!H12</f>
        <v>1170493</v>
      </c>
    </row>
    <row r="13" spans="2:11">
      <c r="B13" s="181" t="s">
        <v>324</v>
      </c>
      <c r="G13" s="198">
        <v>500000</v>
      </c>
      <c r="I13" s="233">
        <f>G12</f>
        <v>600000</v>
      </c>
    </row>
    <row r="14" spans="2:11">
      <c r="B14" s="181" t="s">
        <v>348</v>
      </c>
      <c r="G14" s="198">
        <v>150000</v>
      </c>
      <c r="I14" s="233">
        <f>'2-Income Statement'!H20</f>
        <v>168430</v>
      </c>
    </row>
    <row r="15" spans="2:11">
      <c r="B15" s="181" t="s">
        <v>351</v>
      </c>
      <c r="G15" s="198">
        <v>0</v>
      </c>
      <c r="I15" s="233">
        <f>'2-Income Statement'!H50</f>
        <v>0</v>
      </c>
    </row>
    <row r="16" spans="2:11">
      <c r="B16" s="181" t="s">
        <v>355</v>
      </c>
      <c r="G16" s="198">
        <v>60000</v>
      </c>
      <c r="I16" s="233">
        <f>'2-Income Statement'!H32</f>
        <v>62860</v>
      </c>
    </row>
    <row r="17" spans="2:9">
      <c r="B17" s="181" t="s">
        <v>357</v>
      </c>
      <c r="G17" s="198">
        <v>0</v>
      </c>
      <c r="I17" s="233">
        <f>'2-Income Statement'!H44</f>
        <v>0</v>
      </c>
    </row>
    <row r="18" spans="2:9">
      <c r="B18" s="181" t="s">
        <v>360</v>
      </c>
      <c r="G18" s="198">
        <v>60000</v>
      </c>
      <c r="I18" s="233">
        <f>'2-Income Statement'!H41</f>
        <v>69464</v>
      </c>
    </row>
    <row r="19" spans="2:9">
      <c r="B19" s="181" t="s">
        <v>214</v>
      </c>
      <c r="G19" s="198">
        <v>5000000</v>
      </c>
      <c r="I19" s="198">
        <v>5000000</v>
      </c>
    </row>
    <row r="20" spans="2:9">
      <c r="B20" s="181" t="s">
        <v>14</v>
      </c>
      <c r="G20" s="198">
        <v>10000000</v>
      </c>
      <c r="I20" s="198">
        <v>10000000</v>
      </c>
    </row>
    <row r="21" spans="2:9" ht="11.5" customHeight="1"/>
    <row r="22" spans="2:9">
      <c r="B22" s="181" t="s">
        <v>220</v>
      </c>
      <c r="G22" s="201">
        <f>'2-Income Statement'!H7/'4-Additional Info'!G20</f>
        <v>6.2625E-2</v>
      </c>
      <c r="I22" s="201">
        <f>'2-Income Statement'!J7/'4-Additional Info'!I20</f>
        <v>6.4533499999999994E-2</v>
      </c>
    </row>
    <row r="23" spans="2:9">
      <c r="G23" s="201"/>
      <c r="I23" s="201"/>
    </row>
    <row r="25" spans="2:9">
      <c r="B25" s="181" t="s">
        <v>225</v>
      </c>
    </row>
    <row r="27" spans="2:9">
      <c r="C27" s="181" t="str">
        <f>"Enter loss retention used for the "&amp;'1-Start'!C13&amp;"  loss projection"</f>
        <v>Enter loss retention used for the 2019  loss projection</v>
      </c>
      <c r="I27" s="202">
        <f>retention_5years</f>
        <v>250000</v>
      </c>
    </row>
    <row r="28" spans="2:9">
      <c r="C28" s="188" t="str">
        <f>"Enter expected loss projection under the unlimited loss retetnion for  "&amp;'1-Start'!C13</f>
        <v>Enter expected loss projection under the unlimited loss retetnion for  2019</v>
      </c>
      <c r="I28" s="202">
        <v>150000</v>
      </c>
    </row>
    <row r="29" spans="2:9">
      <c r="C29" s="188" t="str">
        <f>"Enter projected standard devaition of loss under the unlimited loss retetnion for  "&amp;'1-Start'!C13</f>
        <v>Enter projected standard devaition of loss under the unlimited loss retetnion for  2019</v>
      </c>
      <c r="I29" s="202">
        <f>I28*0.5</f>
        <v>75000</v>
      </c>
    </row>
  </sheetData>
  <phoneticPr fontId="67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B1:K33"/>
  <sheetViews>
    <sheetView workbookViewId="0">
      <selection activeCell="B2" sqref="B2"/>
    </sheetView>
  </sheetViews>
  <sheetFormatPr defaultColWidth="8.90625" defaultRowHeight="14.5"/>
  <cols>
    <col min="1" max="1" width="8.90625" style="181"/>
    <col min="2" max="5" width="1.81640625" style="181" customWidth="1"/>
    <col min="6" max="6" width="53.81640625" style="181" customWidth="1"/>
    <col min="7" max="7" width="12.81640625" style="181" customWidth="1"/>
    <col min="8" max="8" width="1.81640625" style="181" customWidth="1"/>
    <col min="9" max="9" width="13.08984375" style="181" bestFit="1" customWidth="1"/>
    <col min="10" max="10" width="1.81640625" style="181" customWidth="1"/>
    <col min="11" max="16384" width="8.90625" style="181"/>
  </cols>
  <sheetData>
    <row r="1" spans="2:11" ht="20">
      <c r="B1" s="206" t="str">
        <f>'1-Start'!C7</f>
        <v>American Captive Company</v>
      </c>
    </row>
    <row r="2" spans="2:11" ht="26">
      <c r="B2" s="207" t="s">
        <v>53</v>
      </c>
      <c r="F2" s="208"/>
    </row>
    <row r="3" spans="2:11" ht="4.25" customHeight="1">
      <c r="B3" s="43"/>
      <c r="C3" s="43"/>
      <c r="D3" s="43"/>
      <c r="E3" s="43"/>
      <c r="F3" s="43"/>
      <c r="G3" s="43"/>
      <c r="H3" s="43"/>
      <c r="I3" s="43"/>
      <c r="J3" s="43"/>
      <c r="K3" s="43"/>
    </row>
    <row r="4" spans="2:11" ht="15" thickBot="1">
      <c r="G4" s="195"/>
      <c r="H4" s="196" t="s">
        <v>208</v>
      </c>
      <c r="I4" s="195"/>
      <c r="J4" s="209"/>
    </row>
    <row r="5" spans="2:11">
      <c r="B5" s="210" t="s">
        <v>74</v>
      </c>
      <c r="G5" s="197">
        <v>43100</v>
      </c>
      <c r="H5" s="184"/>
      <c r="I5" s="197">
        <v>43465</v>
      </c>
      <c r="J5" s="184"/>
    </row>
    <row r="6" spans="2:11" ht="4.25" customHeight="1"/>
    <row r="7" spans="2:11">
      <c r="B7" s="181" t="s">
        <v>115</v>
      </c>
      <c r="G7" s="201">
        <f>Historical!R37</f>
        <v>1.1499999999999999</v>
      </c>
      <c r="I7" s="201">
        <f>Historical!T37</f>
        <v>0.54</v>
      </c>
    </row>
    <row r="8" spans="2:11">
      <c r="B8" s="181" t="s">
        <v>116</v>
      </c>
      <c r="G8" s="201">
        <f>Historical!R38</f>
        <v>2.1506808539567803</v>
      </c>
      <c r="I8" s="201">
        <f>Historical!T38</f>
        <v>1.539691473454273</v>
      </c>
    </row>
    <row r="9" spans="2:11">
      <c r="B9" s="181" t="s">
        <v>242</v>
      </c>
      <c r="G9" s="201">
        <f>Historical!R39</f>
        <v>0.18374145372563358</v>
      </c>
      <c r="I9" s="201">
        <f>Historical!T39</f>
        <v>8.3629661099161368E-2</v>
      </c>
    </row>
    <row r="10" spans="2:11">
      <c r="B10" s="181" t="s">
        <v>48</v>
      </c>
      <c r="G10" s="201">
        <f>Historical!R40</f>
        <v>1.369568716799366</v>
      </c>
      <c r="I10" s="201">
        <f>Historical!T40</f>
        <v>0.83689393770980147</v>
      </c>
    </row>
    <row r="11" spans="2:11">
      <c r="B11" s="181" t="s">
        <v>207</v>
      </c>
      <c r="G11" s="201">
        <f>Historical!R41</f>
        <v>0</v>
      </c>
      <c r="I11" s="211"/>
    </row>
    <row r="12" spans="2:11">
      <c r="B12" s="181" t="s">
        <v>118</v>
      </c>
      <c r="G12" s="201">
        <f>Historical!R42</f>
        <v>0</v>
      </c>
      <c r="I12" s="211"/>
    </row>
    <row r="13" spans="2:11">
      <c r="B13" s="188" t="s">
        <v>364</v>
      </c>
      <c r="G13" s="201">
        <f>Historical!R43</f>
        <v>0</v>
      </c>
      <c r="I13" s="201">
        <f>Historical!T43</f>
        <v>1.1970847580951891</v>
      </c>
    </row>
    <row r="14" spans="2:11">
      <c r="B14" s="181" t="s">
        <v>119</v>
      </c>
      <c r="G14" s="201">
        <f>Historical!R44</f>
        <v>0</v>
      </c>
      <c r="I14" s="211"/>
    </row>
    <row r="15" spans="2:11">
      <c r="B15" s="181" t="s">
        <v>123</v>
      </c>
      <c r="G15" s="201">
        <f>Historical!R45</f>
        <v>0.12763416341597411</v>
      </c>
      <c r="I15" s="201">
        <f>Historical!T45</f>
        <v>8.6247269491565109E-2</v>
      </c>
    </row>
    <row r="16" spans="2:11">
      <c r="B16" s="181" t="s">
        <v>124</v>
      </c>
      <c r="G16" s="201">
        <f>Historical!R46</f>
        <v>0</v>
      </c>
      <c r="I16" s="201">
        <f>Historical!T46</f>
        <v>0</v>
      </c>
    </row>
    <row r="17" spans="2:9">
      <c r="B17" s="181" t="s">
        <v>127</v>
      </c>
      <c r="G17" s="201">
        <f>Historical!R47</f>
        <v>0.21509693280391295</v>
      </c>
      <c r="I17" s="211"/>
    </row>
    <row r="18" spans="2:9">
      <c r="B18" s="181" t="s">
        <v>128</v>
      </c>
      <c r="G18" s="201">
        <f>Historical!R48</f>
        <v>6.7053331517230275</v>
      </c>
      <c r="I18" s="201">
        <f>Historical!T48</f>
        <v>4.9641790602375711</v>
      </c>
    </row>
    <row r="19" spans="2:9">
      <c r="B19" s="181" t="s">
        <v>73</v>
      </c>
      <c r="G19" s="201">
        <f>Historical!R49</f>
        <v>0.14389663159027863</v>
      </c>
      <c r="I19" s="201">
        <f>Historical!T49</f>
        <v>0.12492809938498156</v>
      </c>
    </row>
    <row r="20" spans="2:9">
      <c r="B20" s="181" t="s">
        <v>132</v>
      </c>
      <c r="G20" s="201">
        <f>Historical!R50</f>
        <v>5.3703866661312799E-2</v>
      </c>
      <c r="I20" s="201">
        <f>Historical!T50</f>
        <v>3.6368811183417588E-2</v>
      </c>
    </row>
    <row r="21" spans="2:9">
      <c r="B21" s="181" t="s">
        <v>134</v>
      </c>
      <c r="G21" s="201">
        <f>Historical!R51</f>
        <v>0</v>
      </c>
      <c r="I21" s="201">
        <f>Historical!T51</f>
        <v>0</v>
      </c>
    </row>
    <row r="22" spans="2:9">
      <c r="B22" s="181" t="s">
        <v>135</v>
      </c>
      <c r="G22" s="201">
        <f>Historical!R52</f>
        <v>0.19760049825159143</v>
      </c>
      <c r="I22" s="201">
        <f>Historical!T52</f>
        <v>0.16129691056839915</v>
      </c>
    </row>
    <row r="23" spans="2:9">
      <c r="B23" s="181" t="s">
        <v>47</v>
      </c>
      <c r="G23" s="201">
        <f>Historical!R53</f>
        <v>5.9345933721944515E-2</v>
      </c>
      <c r="I23" s="201">
        <f>Historical!T53</f>
        <v>5.6015942790194687E-2</v>
      </c>
    </row>
    <row r="24" spans="2:9">
      <c r="B24" s="181" t="s">
        <v>114</v>
      </c>
      <c r="G24" s="201">
        <f>Historical!R54</f>
        <v>0.13825456452964691</v>
      </c>
      <c r="I24" s="201">
        <f>Historical!T54</f>
        <v>0.10528096777820446</v>
      </c>
    </row>
    <row r="25" spans="2:9">
      <c r="B25" s="188" t="s">
        <v>362</v>
      </c>
      <c r="G25" s="201">
        <f>Historical!R55</f>
        <v>0.17612382539778468</v>
      </c>
      <c r="I25" s="201">
        <f>Historical!T55</f>
        <v>0.1180966377737105</v>
      </c>
    </row>
    <row r="26" spans="2:9">
      <c r="B26" s="181" t="s">
        <v>38</v>
      </c>
      <c r="G26" s="201">
        <f>Historical!R56</f>
        <v>2.0050358622829241</v>
      </c>
      <c r="I26" s="201">
        <f>Historical!T56</f>
        <v>2.7849356108497996</v>
      </c>
    </row>
    <row r="27" spans="2:9">
      <c r="B27" s="181" t="s">
        <v>39</v>
      </c>
      <c r="G27" s="201">
        <f>Historical!R57</f>
        <v>939203</v>
      </c>
      <c r="I27" s="201">
        <f>Historical!T57</f>
        <v>1544122</v>
      </c>
    </row>
    <row r="28" spans="2:9">
      <c r="B28" s="181" t="s">
        <v>44</v>
      </c>
      <c r="G28" s="201">
        <f>Historical!R58</f>
        <v>939203</v>
      </c>
      <c r="I28" s="201">
        <f>Historical!T58</f>
        <v>1544122</v>
      </c>
    </row>
    <row r="29" spans="2:9">
      <c r="B29" s="181" t="s">
        <v>51</v>
      </c>
      <c r="G29" s="201">
        <f>Historical!R59</f>
        <v>0.86174543547035309</v>
      </c>
      <c r="I29" s="201">
        <f>Historical!T59</f>
        <v>0.8947190322217955</v>
      </c>
    </row>
    <row r="30" spans="2:9">
      <c r="B30" s="188" t="s">
        <v>315</v>
      </c>
      <c r="G30" s="201">
        <f>Historical!R60</f>
        <v>0</v>
      </c>
      <c r="I30" s="201">
        <f>Historical!T60</f>
        <v>0</v>
      </c>
    </row>
    <row r="31" spans="2:9">
      <c r="B31" s="188" t="s">
        <v>318</v>
      </c>
      <c r="G31" s="201">
        <f>Historical!R61</f>
        <v>0</v>
      </c>
      <c r="I31" s="201">
        <f>Historical!T61</f>
        <v>0</v>
      </c>
    </row>
    <row r="32" spans="2:9">
      <c r="B32" s="188" t="s">
        <v>320</v>
      </c>
      <c r="G32" s="201">
        <f>Historical!R62</f>
        <v>0.10611620177016516</v>
      </c>
      <c r="I32" s="201">
        <f>Historical!T62</f>
        <v>5.4267287087245805E-2</v>
      </c>
    </row>
    <row r="33" spans="2:9">
      <c r="B33" s="188" t="s">
        <v>336</v>
      </c>
      <c r="G33" s="201">
        <f>Historical!R63</f>
        <v>0.31177102461400513</v>
      </c>
      <c r="I33" s="201">
        <f>Historical!T63</f>
        <v>0.13479973709026818</v>
      </c>
    </row>
  </sheetData>
  <phoneticPr fontId="6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W123"/>
  <sheetViews>
    <sheetView topLeftCell="A11" workbookViewId="0">
      <selection activeCell="L37" sqref="L37"/>
    </sheetView>
  </sheetViews>
  <sheetFormatPr defaultColWidth="8.90625" defaultRowHeight="14.5"/>
  <cols>
    <col min="1" max="1" width="8.90625" style="181"/>
    <col min="2" max="6" width="1.81640625" style="181" customWidth="1"/>
    <col min="7" max="7" width="60.1796875" style="181" customWidth="1"/>
    <col min="8" max="8" width="3.1796875" style="181" customWidth="1"/>
    <col min="9" max="13" width="13" style="181" customWidth="1"/>
    <col min="14" max="16384" width="8.90625" style="181"/>
  </cols>
  <sheetData>
    <row r="1" spans="1:15" ht="20">
      <c r="B1" s="179" t="str">
        <f>'1-Start'!C7</f>
        <v>American Captive Company</v>
      </c>
      <c r="O1" s="212" t="s">
        <v>372</v>
      </c>
    </row>
    <row r="2" spans="1:15" ht="18.5">
      <c r="A2" s="185"/>
      <c r="B2" s="185" t="s">
        <v>371</v>
      </c>
    </row>
    <row r="3" spans="1:15" ht="3" customHeight="1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</row>
    <row r="4" spans="1:15">
      <c r="B4" s="210" t="s">
        <v>61</v>
      </c>
      <c r="H4" s="214"/>
      <c r="I4" s="214"/>
      <c r="J4" s="214"/>
      <c r="K4" s="214"/>
      <c r="L4" s="214"/>
      <c r="M4" s="214"/>
    </row>
    <row r="5" spans="1:15">
      <c r="H5" s="214"/>
      <c r="I5" s="214"/>
      <c r="J5" s="214"/>
      <c r="K5" s="214"/>
      <c r="L5" s="214"/>
      <c r="M5" s="214"/>
    </row>
    <row r="6" spans="1:15">
      <c r="B6" s="210" t="s">
        <v>180</v>
      </c>
      <c r="H6" s="214"/>
      <c r="I6" s="214"/>
      <c r="J6" s="214"/>
      <c r="K6" s="214"/>
      <c r="L6" s="214"/>
      <c r="M6" s="214"/>
    </row>
    <row r="7" spans="1:15">
      <c r="B7" s="210"/>
      <c r="H7" s="214"/>
      <c r="I7" s="214"/>
      <c r="J7" s="214"/>
      <c r="K7" s="215" t="s">
        <v>15</v>
      </c>
      <c r="L7" s="214"/>
      <c r="M7" s="214"/>
    </row>
    <row r="8" spans="1:15" ht="15" thickBot="1">
      <c r="B8" s="210"/>
      <c r="H8" s="216"/>
      <c r="I8" s="217">
        <f>'1-Start'!C13</f>
        <v>2019</v>
      </c>
      <c r="J8" s="217">
        <f>I8+1</f>
        <v>2020</v>
      </c>
      <c r="K8" s="217">
        <f>J8+1</f>
        <v>2021</v>
      </c>
      <c r="L8" s="217">
        <f>K8+1</f>
        <v>2022</v>
      </c>
      <c r="M8" s="217">
        <f>L8+1</f>
        <v>2023</v>
      </c>
    </row>
    <row r="9" spans="1:15" ht="15" thickBot="1">
      <c r="C9" s="181" t="s">
        <v>219</v>
      </c>
      <c r="H9" s="218"/>
      <c r="I9" s="222">
        <v>3.3000000000000002E-2</v>
      </c>
      <c r="J9" s="222">
        <v>3.3000000000000002E-2</v>
      </c>
      <c r="K9" s="222">
        <v>3.3000000000000002E-2</v>
      </c>
      <c r="L9" s="222">
        <v>3.3000000000000002E-2</v>
      </c>
      <c r="M9" s="222">
        <v>3.3000000000000002E-2</v>
      </c>
    </row>
    <row r="10" spans="1:15" ht="15" hidden="1" thickBot="1">
      <c r="C10" s="188" t="s">
        <v>69</v>
      </c>
      <c r="H10" s="218"/>
      <c r="I10" s="222">
        <f>'Setup 2'!I37</f>
        <v>3.2622613915399474E-3</v>
      </c>
      <c r="J10" s="222">
        <f>'Setup 2'!J37</f>
        <v>3.8578548779123322E-3</v>
      </c>
      <c r="K10" s="222">
        <f>'Setup 2'!K37</f>
        <v>2.7839690860841349E-3</v>
      </c>
      <c r="L10" s="222">
        <f>'Setup 2'!L37</f>
        <v>5.3357381370709262E-3</v>
      </c>
      <c r="M10" s="222">
        <f>'Setup 2'!M37</f>
        <v>6.4928975731578832E-3</v>
      </c>
    </row>
    <row r="11" spans="1:15" ht="15" thickBot="1">
      <c r="C11" s="181" t="s">
        <v>328</v>
      </c>
      <c r="H11" s="218"/>
      <c r="I11" s="222">
        <v>0.05</v>
      </c>
      <c r="J11" s="222">
        <v>0.05</v>
      </c>
      <c r="K11" s="222">
        <v>0.05</v>
      </c>
      <c r="L11" s="222">
        <v>0.05</v>
      </c>
      <c r="M11" s="222">
        <v>0.05</v>
      </c>
    </row>
    <row r="12" spans="1:15" ht="15" thickBot="1">
      <c r="C12" s="181" t="s">
        <v>216</v>
      </c>
      <c r="H12" s="218"/>
      <c r="I12" s="222">
        <v>0.1</v>
      </c>
      <c r="J12" s="222">
        <v>0.1</v>
      </c>
      <c r="K12" s="222">
        <v>0.1</v>
      </c>
      <c r="L12" s="222">
        <v>0.1</v>
      </c>
      <c r="M12" s="222">
        <v>0.1</v>
      </c>
    </row>
    <row r="13" spans="1:15" ht="15" thickBot="1">
      <c r="C13" s="181" t="s">
        <v>62</v>
      </c>
      <c r="H13" s="218"/>
      <c r="I13" s="222">
        <v>3.5000000000000003E-2</v>
      </c>
      <c r="J13" s="222">
        <v>3.5000000000000003E-2</v>
      </c>
      <c r="K13" s="222">
        <v>3.5000000000000003E-2</v>
      </c>
      <c r="L13" s="222">
        <v>3.5000000000000003E-2</v>
      </c>
      <c r="M13" s="222">
        <v>3.5000000000000003E-2</v>
      </c>
    </row>
    <row r="14" spans="1:15" ht="15" thickBot="1">
      <c r="C14" s="188" t="s">
        <v>327</v>
      </c>
      <c r="H14" s="218"/>
      <c r="I14" s="222">
        <v>0.25</v>
      </c>
      <c r="J14" s="222">
        <v>0.25</v>
      </c>
      <c r="K14" s="222">
        <v>0.25</v>
      </c>
      <c r="L14" s="222">
        <v>0.25</v>
      </c>
      <c r="M14" s="222">
        <v>0.25</v>
      </c>
    </row>
    <row r="15" spans="1:15">
      <c r="H15" s="214"/>
      <c r="I15" s="214"/>
      <c r="J15" s="214"/>
      <c r="K15" s="214"/>
      <c r="L15" s="214"/>
      <c r="M15" s="214"/>
      <c r="O15" s="181" t="s">
        <v>373</v>
      </c>
    </row>
    <row r="16" spans="1:15">
      <c r="B16" s="210" t="s">
        <v>183</v>
      </c>
      <c r="H16" s="214"/>
      <c r="I16" s="214"/>
      <c r="J16" s="214"/>
      <c r="K16" s="214"/>
      <c r="L16" s="214"/>
      <c r="M16" s="214"/>
    </row>
    <row r="17" spans="2:15">
      <c r="H17" s="214"/>
      <c r="I17" s="214"/>
      <c r="J17" s="214"/>
      <c r="K17" s="215" t="s">
        <v>16</v>
      </c>
      <c r="L17" s="214"/>
      <c r="M17" s="214"/>
    </row>
    <row r="18" spans="2:15" ht="15" thickBot="1">
      <c r="H18" s="216"/>
      <c r="I18" s="217">
        <f>I8</f>
        <v>2019</v>
      </c>
      <c r="J18" s="217">
        <f>I18+1</f>
        <v>2020</v>
      </c>
      <c r="K18" s="217">
        <f>J18+1</f>
        <v>2021</v>
      </c>
      <c r="L18" s="217">
        <f>K18+1</f>
        <v>2022</v>
      </c>
      <c r="M18" s="217">
        <f>L18+1</f>
        <v>2023</v>
      </c>
    </row>
    <row r="19" spans="2:15" ht="15" thickBot="1">
      <c r="C19" s="181" t="s">
        <v>19</v>
      </c>
      <c r="H19" s="216"/>
      <c r="I19" s="223">
        <v>0.02</v>
      </c>
      <c r="J19" s="223">
        <v>0.02</v>
      </c>
      <c r="K19" s="223">
        <v>0.02</v>
      </c>
      <c r="L19" s="223">
        <v>0.02</v>
      </c>
      <c r="M19" s="223">
        <v>0.02</v>
      </c>
    </row>
    <row r="20" spans="2:15" ht="15" thickBot="1">
      <c r="H20" s="216"/>
      <c r="I20" s="224"/>
      <c r="J20" s="217"/>
      <c r="K20" s="217"/>
      <c r="L20" s="217"/>
      <c r="M20" s="217"/>
    </row>
    <row r="21" spans="2:15" ht="15" thickBot="1">
      <c r="C21" s="181" t="s">
        <v>187</v>
      </c>
      <c r="H21" s="218"/>
      <c r="I21" s="222">
        <v>0.03</v>
      </c>
      <c r="J21" s="222">
        <v>0.03</v>
      </c>
      <c r="K21" s="222">
        <v>0.03</v>
      </c>
      <c r="L21" s="222">
        <v>0.03</v>
      </c>
      <c r="M21" s="222">
        <v>0.03</v>
      </c>
    </row>
    <row r="22" spans="2:15" ht="15" thickBot="1">
      <c r="C22" s="181" t="s">
        <v>188</v>
      </c>
      <c r="H22" s="218"/>
      <c r="I22" s="222">
        <v>0</v>
      </c>
      <c r="J22" s="222">
        <v>0</v>
      </c>
      <c r="K22" s="222">
        <v>0</v>
      </c>
      <c r="L22" s="222">
        <v>0</v>
      </c>
      <c r="M22" s="222">
        <v>0</v>
      </c>
    </row>
    <row r="23" spans="2:15" ht="15" thickBot="1">
      <c r="C23" s="181" t="s">
        <v>189</v>
      </c>
      <c r="H23" s="218"/>
      <c r="I23" s="222">
        <v>0</v>
      </c>
      <c r="J23" s="222">
        <v>0</v>
      </c>
      <c r="K23" s="222">
        <v>0</v>
      </c>
      <c r="L23" s="222">
        <v>0</v>
      </c>
      <c r="M23" s="222">
        <v>0</v>
      </c>
    </row>
    <row r="24" spans="2:15" ht="15" thickBot="1">
      <c r="C24" s="181" t="s">
        <v>190</v>
      </c>
      <c r="H24" s="218"/>
      <c r="I24" s="222">
        <v>0</v>
      </c>
      <c r="J24" s="222">
        <v>0</v>
      </c>
      <c r="K24" s="222">
        <v>0</v>
      </c>
      <c r="L24" s="222">
        <v>0</v>
      </c>
      <c r="M24" s="222">
        <v>0</v>
      </c>
    </row>
    <row r="25" spans="2:15" ht="15" thickBot="1">
      <c r="C25" s="181" t="s">
        <v>111</v>
      </c>
      <c r="H25" s="218"/>
      <c r="I25" s="222">
        <v>0</v>
      </c>
      <c r="J25" s="222">
        <v>0</v>
      </c>
      <c r="K25" s="222">
        <v>0</v>
      </c>
      <c r="L25" s="222">
        <v>0</v>
      </c>
      <c r="M25" s="222">
        <v>0</v>
      </c>
    </row>
    <row r="26" spans="2:15" ht="15" thickBot="1">
      <c r="C26" s="181" t="s">
        <v>191</v>
      </c>
      <c r="H26" s="218"/>
      <c r="I26" s="222">
        <v>0</v>
      </c>
      <c r="J26" s="222">
        <v>0</v>
      </c>
      <c r="K26" s="222">
        <v>0</v>
      </c>
      <c r="L26" s="222">
        <v>0</v>
      </c>
      <c r="M26" s="222">
        <v>0</v>
      </c>
    </row>
    <row r="27" spans="2:15">
      <c r="H27" s="214"/>
      <c r="I27" s="214"/>
      <c r="J27" s="214"/>
      <c r="K27" s="214"/>
      <c r="L27" s="214"/>
      <c r="M27" s="214"/>
      <c r="O27" s="181" t="s">
        <v>373</v>
      </c>
    </row>
    <row r="28" spans="2:15">
      <c r="B28" s="210" t="s">
        <v>168</v>
      </c>
      <c r="H28" s="214"/>
      <c r="I28" s="214"/>
      <c r="J28" s="214"/>
      <c r="K28" s="214"/>
      <c r="L28" s="214"/>
      <c r="M28" s="214"/>
    </row>
    <row r="29" spans="2:15">
      <c r="H29" s="214"/>
      <c r="I29" s="214"/>
      <c r="J29" s="214"/>
      <c r="K29" s="215" t="s">
        <v>17</v>
      </c>
      <c r="L29" s="214"/>
      <c r="M29" s="214"/>
    </row>
    <row r="30" spans="2:15" ht="15" thickBot="1">
      <c r="H30" s="216"/>
      <c r="I30" s="217">
        <f>I18</f>
        <v>2019</v>
      </c>
      <c r="J30" s="217">
        <f>I30+1</f>
        <v>2020</v>
      </c>
      <c r="K30" s="217">
        <f>J30+1</f>
        <v>2021</v>
      </c>
      <c r="L30" s="217">
        <f>K30+1</f>
        <v>2022</v>
      </c>
      <c r="M30" s="217">
        <f>L30+1</f>
        <v>2023</v>
      </c>
    </row>
    <row r="31" spans="2:15" ht="15" thickBot="1">
      <c r="C31" s="181" t="s">
        <v>338</v>
      </c>
      <c r="H31" s="218"/>
      <c r="I31" s="222">
        <v>0.03</v>
      </c>
      <c r="J31" s="222">
        <v>0.03</v>
      </c>
      <c r="K31" s="222">
        <v>0.03</v>
      </c>
      <c r="L31" s="222">
        <v>0.03</v>
      </c>
      <c r="M31" s="222">
        <v>0.03</v>
      </c>
    </row>
    <row r="32" spans="2:15" ht="15" thickBot="1">
      <c r="C32" s="181" t="s">
        <v>339</v>
      </c>
      <c r="H32" s="218"/>
      <c r="I32" s="222">
        <v>0.03</v>
      </c>
      <c r="J32" s="222">
        <v>0.03</v>
      </c>
      <c r="K32" s="222">
        <v>0.03</v>
      </c>
      <c r="L32" s="222">
        <v>0.03</v>
      </c>
      <c r="M32" s="222">
        <v>0.03</v>
      </c>
    </row>
    <row r="33" spans="2:15" ht="15" thickBot="1">
      <c r="C33" s="181" t="s">
        <v>63</v>
      </c>
      <c r="H33" s="218"/>
      <c r="I33" s="222">
        <v>0</v>
      </c>
      <c r="J33" s="222">
        <v>0</v>
      </c>
      <c r="K33" s="222">
        <v>0</v>
      </c>
      <c r="L33" s="222">
        <v>0</v>
      </c>
      <c r="M33" s="222">
        <v>0</v>
      </c>
    </row>
    <row r="34" spans="2:15">
      <c r="H34" s="218"/>
      <c r="I34" s="219"/>
      <c r="J34" s="219"/>
      <c r="K34" s="219"/>
      <c r="L34" s="219"/>
      <c r="M34" s="219"/>
      <c r="O34" s="181" t="s">
        <v>373</v>
      </c>
    </row>
    <row r="35" spans="2:15" hidden="1">
      <c r="C35" s="181" t="s">
        <v>340</v>
      </c>
      <c r="H35" s="218"/>
      <c r="I35" s="219">
        <v>4.0045408877340802E-2</v>
      </c>
      <c r="J35" s="219">
        <v>7.9187668364733232E-2</v>
      </c>
      <c r="K35" s="219">
        <v>4.8478751736634851E-2</v>
      </c>
      <c r="L35" s="219">
        <v>6.5056250892967127E-2</v>
      </c>
      <c r="M35" s="219">
        <v>8.5867176230906395E-2</v>
      </c>
    </row>
    <row r="36" spans="2:15">
      <c r="H36" s="218"/>
      <c r="I36" s="219"/>
      <c r="J36" s="219"/>
      <c r="K36" s="219"/>
      <c r="L36" s="219"/>
      <c r="M36" s="219"/>
    </row>
    <row r="37" spans="2:15" ht="15" thickBot="1">
      <c r="B37" s="183" t="s">
        <v>347</v>
      </c>
      <c r="H37" s="218"/>
      <c r="I37" s="217">
        <f>I30</f>
        <v>2019</v>
      </c>
      <c r="J37" s="217">
        <f>I37+1</f>
        <v>2020</v>
      </c>
      <c r="K37" s="217">
        <f>J37+1</f>
        <v>2021</v>
      </c>
      <c r="L37" s="217">
        <f>K37+1</f>
        <v>2022</v>
      </c>
      <c r="M37" s="217">
        <f>L37+1</f>
        <v>2023</v>
      </c>
    </row>
    <row r="38" spans="2:15" ht="15" thickBot="1">
      <c r="B38" s="183"/>
      <c r="C38" s="181" t="s">
        <v>363</v>
      </c>
      <c r="H38" s="218"/>
      <c r="I38" s="225">
        <v>0</v>
      </c>
      <c r="J38" s="225">
        <v>0</v>
      </c>
      <c r="K38" s="225">
        <v>0</v>
      </c>
      <c r="L38" s="225">
        <v>0</v>
      </c>
      <c r="M38" s="225">
        <v>0</v>
      </c>
    </row>
    <row r="39" spans="2:15">
      <c r="H39" s="214"/>
      <c r="I39" s="214"/>
      <c r="J39" s="214"/>
      <c r="K39" s="214"/>
      <c r="L39" s="214"/>
      <c r="M39" s="214"/>
      <c r="O39" s="181" t="s">
        <v>373</v>
      </c>
    </row>
    <row r="40" spans="2:15">
      <c r="B40" s="210" t="s">
        <v>196</v>
      </c>
      <c r="H40" s="214"/>
      <c r="I40" s="214"/>
      <c r="J40" s="214"/>
      <c r="K40" s="214"/>
      <c r="L40" s="214"/>
      <c r="M40" s="214"/>
    </row>
    <row r="41" spans="2:15">
      <c r="H41" s="214"/>
      <c r="I41" s="214"/>
      <c r="J41" s="214"/>
      <c r="K41" s="215" t="s">
        <v>18</v>
      </c>
      <c r="L41" s="214"/>
      <c r="M41" s="214"/>
    </row>
    <row r="42" spans="2:15" ht="15" thickBot="1">
      <c r="H42" s="216"/>
      <c r="I42" s="217">
        <f>I30</f>
        <v>2019</v>
      </c>
      <c r="J42" s="217">
        <f>I42+1</f>
        <v>2020</v>
      </c>
      <c r="K42" s="217">
        <f>J42+1</f>
        <v>2021</v>
      </c>
      <c r="L42" s="217">
        <f>K42+1</f>
        <v>2022</v>
      </c>
      <c r="M42" s="217">
        <f>L42+1</f>
        <v>2023</v>
      </c>
    </row>
    <row r="43" spans="2:15" ht="15" thickBot="1">
      <c r="C43" s="181" t="s">
        <v>217</v>
      </c>
      <c r="H43" s="220"/>
      <c r="I43" s="225">
        <v>0</v>
      </c>
      <c r="J43" s="225">
        <v>0</v>
      </c>
      <c r="K43" s="225">
        <v>0</v>
      </c>
      <c r="L43" s="225">
        <v>0</v>
      </c>
      <c r="M43" s="225">
        <v>0</v>
      </c>
    </row>
    <row r="44" spans="2:15">
      <c r="H44" s="214"/>
      <c r="I44" s="214"/>
      <c r="J44" s="214"/>
      <c r="K44" s="214"/>
      <c r="L44" s="214"/>
      <c r="M44" s="214"/>
      <c r="O44" s="181" t="s">
        <v>373</v>
      </c>
    </row>
    <row r="45" spans="2:15">
      <c r="B45" s="210" t="s">
        <v>113</v>
      </c>
      <c r="H45" s="214"/>
      <c r="I45" s="214"/>
      <c r="J45" s="214"/>
      <c r="K45" s="214"/>
      <c r="L45" s="214"/>
      <c r="M45" s="214"/>
    </row>
    <row r="46" spans="2:15">
      <c r="H46" s="214"/>
      <c r="I46" s="214"/>
      <c r="J46" s="214"/>
      <c r="K46" s="215" t="s">
        <v>18</v>
      </c>
      <c r="L46" s="214"/>
      <c r="M46" s="214"/>
    </row>
    <row r="47" spans="2:15" ht="15" thickBot="1">
      <c r="H47" s="216"/>
      <c r="I47" s="217">
        <f>I42</f>
        <v>2019</v>
      </c>
      <c r="J47" s="217">
        <f>I47+1</f>
        <v>2020</v>
      </c>
      <c r="K47" s="217">
        <f>J47+1</f>
        <v>2021</v>
      </c>
      <c r="L47" s="217">
        <f>K47+1</f>
        <v>2022</v>
      </c>
      <c r="M47" s="217">
        <f>L47+1</f>
        <v>2023</v>
      </c>
    </row>
    <row r="48" spans="2:15" ht="15" thickBot="1">
      <c r="C48" s="181" t="s">
        <v>72</v>
      </c>
      <c r="H48" s="220"/>
      <c r="I48" s="225">
        <v>0</v>
      </c>
      <c r="J48" s="225">
        <v>0</v>
      </c>
      <c r="K48" s="225">
        <v>0</v>
      </c>
      <c r="L48" s="225">
        <v>0</v>
      </c>
      <c r="M48" s="225">
        <v>0</v>
      </c>
    </row>
    <row r="49" spans="2:15">
      <c r="H49" s="220"/>
      <c r="I49" s="221"/>
      <c r="J49" s="221"/>
      <c r="K49" s="221"/>
      <c r="L49" s="221"/>
      <c r="M49" s="221"/>
    </row>
    <row r="50" spans="2:15">
      <c r="B50" s="183" t="s">
        <v>201</v>
      </c>
      <c r="H50" s="220"/>
      <c r="I50" s="221"/>
      <c r="J50" s="221"/>
      <c r="K50" s="221"/>
      <c r="L50" s="221"/>
      <c r="M50" s="221"/>
      <c r="O50" s="181" t="s">
        <v>373</v>
      </c>
    </row>
    <row r="51" spans="2:15">
      <c r="B51" s="183"/>
      <c r="H51" s="220"/>
      <c r="I51" s="221"/>
      <c r="J51" s="221"/>
      <c r="K51" s="221"/>
      <c r="L51" s="221"/>
      <c r="M51" s="221"/>
    </row>
    <row r="52" spans="2:15" ht="15" thickBot="1">
      <c r="B52" s="183"/>
      <c r="H52" s="220"/>
      <c r="I52" s="217">
        <f>I47</f>
        <v>2019</v>
      </c>
      <c r="J52" s="217">
        <f>I52+1</f>
        <v>2020</v>
      </c>
      <c r="K52" s="217">
        <f>J52+1</f>
        <v>2021</v>
      </c>
      <c r="L52" s="217">
        <f>K52+1</f>
        <v>2022</v>
      </c>
      <c r="M52" s="217">
        <f>L52+1</f>
        <v>2023</v>
      </c>
    </row>
    <row r="53" spans="2:15" ht="15" thickBot="1">
      <c r="B53" s="183"/>
      <c r="D53" s="188" t="s">
        <v>325</v>
      </c>
      <c r="H53" s="220"/>
      <c r="I53" s="225">
        <v>0</v>
      </c>
      <c r="J53" s="225">
        <v>0</v>
      </c>
      <c r="K53" s="225">
        <v>0</v>
      </c>
      <c r="L53" s="225">
        <v>0</v>
      </c>
      <c r="M53" s="225">
        <v>0</v>
      </c>
    </row>
    <row r="54" spans="2:15">
      <c r="B54" s="210"/>
      <c r="H54" s="214"/>
      <c r="I54" s="214"/>
      <c r="J54" s="214"/>
      <c r="K54" s="214"/>
      <c r="L54" s="214"/>
      <c r="M54" s="214"/>
      <c r="O54" s="181" t="s">
        <v>373</v>
      </c>
    </row>
    <row r="55" spans="2:15">
      <c r="B55" s="210" t="s">
        <v>75</v>
      </c>
      <c r="H55" s="214"/>
      <c r="I55" s="214"/>
      <c r="J55" s="214"/>
      <c r="K55" s="214"/>
      <c r="L55" s="214"/>
      <c r="M55" s="214"/>
    </row>
    <row r="56" spans="2:15">
      <c r="B56" s="226" t="s">
        <v>74</v>
      </c>
      <c r="C56" s="213"/>
      <c r="D56" s="213"/>
      <c r="E56" s="213"/>
      <c r="F56" s="213"/>
      <c r="G56" s="213"/>
      <c r="H56" s="213"/>
      <c r="I56" s="213"/>
      <c r="J56" s="213"/>
      <c r="K56" s="213"/>
      <c r="L56" s="213"/>
    </row>
    <row r="57" spans="2:15" ht="29">
      <c r="B57" s="213"/>
      <c r="C57" s="213"/>
      <c r="D57" s="213"/>
      <c r="E57" s="213"/>
      <c r="F57" s="213"/>
      <c r="G57" s="213"/>
      <c r="H57" s="213"/>
      <c r="I57" s="230" t="s">
        <v>76</v>
      </c>
      <c r="J57" s="213"/>
      <c r="K57" s="230" t="s">
        <v>77</v>
      </c>
    </row>
    <row r="58" spans="2:15">
      <c r="B58" s="213" t="s">
        <v>115</v>
      </c>
      <c r="C58" s="213"/>
      <c r="D58" s="213"/>
      <c r="E58" s="213"/>
      <c r="F58" s="213"/>
      <c r="G58" s="213"/>
      <c r="H58" s="213"/>
      <c r="I58" s="227">
        <v>0</v>
      </c>
      <c r="J58" s="213"/>
      <c r="K58" s="227">
        <v>9</v>
      </c>
    </row>
    <row r="59" spans="2:15">
      <c r="B59" s="213" t="s">
        <v>116</v>
      </c>
      <c r="C59" s="213"/>
      <c r="D59" s="213"/>
      <c r="E59" s="213"/>
      <c r="F59" s="213"/>
      <c r="G59" s="213"/>
      <c r="H59" s="213"/>
      <c r="I59" s="227">
        <v>0</v>
      </c>
      <c r="J59" s="213"/>
      <c r="K59" s="227">
        <v>3</v>
      </c>
    </row>
    <row r="60" spans="2:15">
      <c r="B60" s="213" t="s">
        <v>242</v>
      </c>
      <c r="C60" s="213"/>
      <c r="D60" s="213"/>
      <c r="E60" s="213"/>
      <c r="F60" s="213"/>
      <c r="G60" s="213"/>
      <c r="H60" s="213"/>
      <c r="I60" s="227">
        <v>0</v>
      </c>
      <c r="J60" s="213"/>
      <c r="K60" s="227">
        <v>0.25</v>
      </c>
    </row>
    <row r="61" spans="2:15">
      <c r="B61" s="213" t="s">
        <v>48</v>
      </c>
      <c r="C61" s="213"/>
      <c r="D61" s="213"/>
      <c r="E61" s="213"/>
      <c r="F61" s="213"/>
      <c r="G61" s="213"/>
      <c r="H61" s="213"/>
      <c r="I61" s="227">
        <v>0</v>
      </c>
      <c r="J61" s="213"/>
      <c r="K61" s="227">
        <v>1.2</v>
      </c>
    </row>
    <row r="62" spans="2:15">
      <c r="B62" s="213" t="s">
        <v>207</v>
      </c>
      <c r="C62" s="213"/>
      <c r="D62" s="213"/>
      <c r="E62" s="213"/>
      <c r="F62" s="213"/>
      <c r="G62" s="213"/>
      <c r="H62" s="213"/>
      <c r="I62" s="227">
        <v>-0.33</v>
      </c>
      <c r="J62" s="213"/>
      <c r="K62" s="227">
        <v>0.33</v>
      </c>
    </row>
    <row r="63" spans="2:15">
      <c r="B63" s="213" t="s">
        <v>118</v>
      </c>
      <c r="C63" s="213"/>
      <c r="D63" s="213"/>
      <c r="E63" s="213"/>
      <c r="F63" s="213"/>
      <c r="G63" s="213"/>
      <c r="H63" s="213"/>
      <c r="I63" s="227">
        <v>-0.1</v>
      </c>
      <c r="J63" s="213"/>
      <c r="K63" s="227">
        <v>0.5</v>
      </c>
    </row>
    <row r="64" spans="2:15">
      <c r="B64" s="213" t="s">
        <v>364</v>
      </c>
      <c r="C64" s="213"/>
      <c r="D64" s="213"/>
      <c r="E64" s="213"/>
      <c r="F64" s="213"/>
      <c r="G64" s="213"/>
      <c r="H64" s="213"/>
      <c r="I64" s="227">
        <v>-0.1</v>
      </c>
      <c r="J64" s="213"/>
      <c r="K64" s="227">
        <v>0.25</v>
      </c>
    </row>
    <row r="65" spans="2:13">
      <c r="B65" s="213" t="s">
        <v>119</v>
      </c>
      <c r="C65" s="213"/>
      <c r="D65" s="213"/>
      <c r="E65" s="213"/>
      <c r="F65" s="213"/>
      <c r="G65" s="213"/>
      <c r="H65" s="213"/>
      <c r="I65" s="227">
        <v>0</v>
      </c>
      <c r="J65" s="213"/>
      <c r="K65" s="227">
        <v>0.2</v>
      </c>
    </row>
    <row r="66" spans="2:13">
      <c r="B66" s="213" t="s">
        <v>123</v>
      </c>
      <c r="C66" s="213"/>
      <c r="D66" s="213"/>
      <c r="E66" s="213"/>
      <c r="F66" s="213"/>
      <c r="G66" s="213"/>
      <c r="H66" s="213"/>
      <c r="I66" s="227">
        <v>0.03</v>
      </c>
      <c r="J66" s="213"/>
      <c r="K66" s="227">
        <v>6.5000000000000002E-2</v>
      </c>
    </row>
    <row r="67" spans="2:13">
      <c r="B67" s="213" t="s">
        <v>124</v>
      </c>
      <c r="C67" s="213"/>
      <c r="D67" s="213"/>
      <c r="E67" s="213"/>
      <c r="F67" s="213"/>
      <c r="G67" s="213"/>
      <c r="H67" s="213"/>
      <c r="I67" s="227">
        <v>-0.05</v>
      </c>
      <c r="J67" s="213"/>
      <c r="K67" s="227">
        <v>0.05</v>
      </c>
    </row>
    <row r="68" spans="2:13">
      <c r="B68" s="213" t="s">
        <v>127</v>
      </c>
      <c r="C68" s="213"/>
      <c r="D68" s="213"/>
      <c r="E68" s="213"/>
      <c r="F68" s="213"/>
      <c r="G68" s="213"/>
      <c r="H68" s="213"/>
      <c r="I68" s="227">
        <v>0</v>
      </c>
      <c r="J68" s="213"/>
      <c r="K68" s="227">
        <v>0.1</v>
      </c>
      <c r="M68" s="200"/>
    </row>
    <row r="69" spans="2:13">
      <c r="B69" s="213" t="s">
        <v>128</v>
      </c>
      <c r="C69" s="213"/>
      <c r="D69" s="213"/>
      <c r="E69" s="213"/>
      <c r="F69" s="213"/>
      <c r="G69" s="213"/>
      <c r="H69" s="213"/>
      <c r="I69" s="227">
        <v>0</v>
      </c>
      <c r="J69" s="213"/>
      <c r="K69" s="227">
        <v>1</v>
      </c>
    </row>
    <row r="70" spans="2:13">
      <c r="B70" s="213" t="s">
        <v>73</v>
      </c>
      <c r="C70" s="213"/>
      <c r="D70" s="213"/>
      <c r="E70" s="213"/>
      <c r="F70" s="213"/>
      <c r="G70" s="213"/>
      <c r="H70" s="213"/>
      <c r="I70" s="227">
        <v>0</v>
      </c>
      <c r="J70" s="213"/>
      <c r="K70" s="227">
        <v>0.7</v>
      </c>
    </row>
    <row r="71" spans="2:13">
      <c r="B71" s="213" t="s">
        <v>132</v>
      </c>
      <c r="C71" s="213"/>
      <c r="D71" s="213"/>
      <c r="E71" s="213"/>
      <c r="F71" s="213"/>
      <c r="G71" s="213"/>
      <c r="H71" s="213"/>
      <c r="I71" s="227">
        <v>0</v>
      </c>
      <c r="J71" s="213"/>
      <c r="K71" s="227">
        <v>0.1</v>
      </c>
    </row>
    <row r="72" spans="2:13">
      <c r="B72" s="213" t="s">
        <v>134</v>
      </c>
      <c r="C72" s="213"/>
      <c r="D72" s="213"/>
      <c r="E72" s="213"/>
      <c r="F72" s="213"/>
      <c r="G72" s="213"/>
      <c r="H72" s="213"/>
      <c r="I72" s="227">
        <v>0</v>
      </c>
      <c r="J72" s="213"/>
      <c r="K72" s="227">
        <v>0.1</v>
      </c>
    </row>
    <row r="73" spans="2:13">
      <c r="B73" s="213" t="s">
        <v>135</v>
      </c>
      <c r="C73" s="213"/>
      <c r="D73" s="213"/>
      <c r="E73" s="213"/>
      <c r="F73" s="213"/>
      <c r="G73" s="213"/>
      <c r="H73" s="213"/>
      <c r="I73" s="227">
        <v>0</v>
      </c>
      <c r="J73" s="213"/>
      <c r="K73" s="227">
        <v>1</v>
      </c>
    </row>
    <row r="74" spans="2:13">
      <c r="B74" s="213" t="s">
        <v>47</v>
      </c>
      <c r="C74" s="213"/>
      <c r="D74" s="213"/>
      <c r="E74" s="213"/>
      <c r="F74" s="213"/>
      <c r="G74" s="213"/>
      <c r="H74" s="213"/>
      <c r="I74" s="227">
        <v>-0.05</v>
      </c>
      <c r="J74" s="213"/>
      <c r="K74" s="227">
        <v>0.05</v>
      </c>
    </row>
    <row r="75" spans="2:13">
      <c r="B75" s="213" t="s">
        <v>114</v>
      </c>
      <c r="C75" s="213"/>
      <c r="D75" s="213"/>
      <c r="E75" s="213"/>
      <c r="F75" s="213"/>
      <c r="G75" s="213"/>
      <c r="H75" s="213"/>
      <c r="I75" s="227">
        <v>0</v>
      </c>
      <c r="J75" s="213"/>
      <c r="K75" s="227">
        <v>0.5</v>
      </c>
    </row>
    <row r="76" spans="2:13">
      <c r="B76" s="213" t="s">
        <v>362</v>
      </c>
      <c r="C76" s="213"/>
      <c r="D76" s="213"/>
      <c r="E76" s="213"/>
      <c r="F76" s="213"/>
      <c r="G76" s="213"/>
      <c r="H76" s="213"/>
      <c r="I76" s="227">
        <v>0</v>
      </c>
      <c r="J76" s="213"/>
      <c r="K76" s="227">
        <v>1</v>
      </c>
    </row>
    <row r="77" spans="2:13">
      <c r="B77" s="213" t="s">
        <v>38</v>
      </c>
      <c r="C77" s="213"/>
      <c r="D77" s="213"/>
      <c r="E77" s="213"/>
      <c r="F77" s="213"/>
      <c r="G77" s="213"/>
      <c r="H77" s="199"/>
      <c r="I77" s="227">
        <v>1</v>
      </c>
      <c r="J77" s="213"/>
      <c r="K77" s="227">
        <v>9</v>
      </c>
    </row>
    <row r="78" spans="2:13">
      <c r="B78" s="213" t="s">
        <v>39</v>
      </c>
      <c r="C78" s="213"/>
      <c r="D78" s="213"/>
      <c r="E78" s="213"/>
      <c r="F78" s="213"/>
      <c r="G78" s="213"/>
      <c r="H78" s="229"/>
      <c r="I78" s="228">
        <v>100000</v>
      </c>
      <c r="J78" s="213"/>
      <c r="K78" s="228">
        <v>250000</v>
      </c>
    </row>
    <row r="79" spans="2:13">
      <c r="B79" s="213" t="s">
        <v>44</v>
      </c>
      <c r="I79" s="228">
        <v>50000</v>
      </c>
      <c r="J79" s="213"/>
      <c r="K79" s="228">
        <v>250000</v>
      </c>
    </row>
    <row r="80" spans="2:13">
      <c r="B80" s="213" t="s">
        <v>51</v>
      </c>
      <c r="I80" s="227">
        <v>0.1</v>
      </c>
      <c r="J80" s="213"/>
      <c r="K80" s="227">
        <v>0.5</v>
      </c>
    </row>
    <row r="81" spans="2:23">
      <c r="B81" s="213" t="s">
        <v>315</v>
      </c>
      <c r="I81" s="227">
        <v>0</v>
      </c>
      <c r="J81" s="213"/>
      <c r="K81" s="227">
        <v>0.15</v>
      </c>
    </row>
    <row r="82" spans="2:23">
      <c r="B82" s="213" t="s">
        <v>318</v>
      </c>
      <c r="I82" s="227">
        <v>0</v>
      </c>
      <c r="J82" s="213"/>
      <c r="K82" s="227">
        <v>0.4</v>
      </c>
    </row>
    <row r="83" spans="2:23">
      <c r="B83" s="213" t="s">
        <v>320</v>
      </c>
      <c r="I83" s="227">
        <v>0</v>
      </c>
      <c r="J83" s="213"/>
      <c r="K83" s="227">
        <v>0.2</v>
      </c>
    </row>
    <row r="84" spans="2:23">
      <c r="B84" s="213" t="s">
        <v>336</v>
      </c>
      <c r="I84" s="227">
        <v>0</v>
      </c>
      <c r="J84" s="213"/>
      <c r="K84" s="227">
        <v>0.25</v>
      </c>
    </row>
    <row r="85" spans="2:23">
      <c r="B85" s="213"/>
      <c r="J85" s="213"/>
    </row>
    <row r="86" spans="2:23">
      <c r="B86" s="213"/>
    </row>
    <row r="89" spans="2:23">
      <c r="I89" s="242"/>
      <c r="J89" s="242"/>
      <c r="K89" s="242"/>
      <c r="L89" s="242"/>
      <c r="M89" s="242"/>
      <c r="N89" s="242"/>
      <c r="O89" s="242"/>
      <c r="P89" s="242"/>
      <c r="Q89" s="242"/>
      <c r="R89" s="242"/>
      <c r="S89" s="242"/>
      <c r="T89" s="242"/>
      <c r="U89" s="242"/>
      <c r="V89" s="242"/>
      <c r="W89" s="242"/>
    </row>
    <row r="90" spans="2:23">
      <c r="I90" s="316"/>
      <c r="J90" s="316"/>
      <c r="K90" s="316"/>
      <c r="L90" s="316"/>
      <c r="M90" s="316"/>
      <c r="N90" s="316"/>
      <c r="O90" s="316"/>
      <c r="P90" s="316"/>
      <c r="Q90" s="316"/>
      <c r="R90" s="316"/>
      <c r="S90" s="242"/>
      <c r="T90" s="242"/>
      <c r="U90" s="242"/>
      <c r="V90" s="242"/>
      <c r="W90" s="242"/>
    </row>
    <row r="91" spans="2:23" ht="15" customHeight="1">
      <c r="I91" s="316"/>
      <c r="J91" s="316"/>
      <c r="K91" s="316"/>
      <c r="L91" s="316"/>
      <c r="M91" s="316"/>
      <c r="N91" s="316"/>
      <c r="O91" s="316"/>
      <c r="P91" s="316"/>
      <c r="Q91" s="316"/>
      <c r="R91" s="316"/>
      <c r="S91" s="242"/>
      <c r="T91" s="242"/>
      <c r="U91" s="242"/>
      <c r="V91" s="242"/>
      <c r="W91" s="242"/>
    </row>
    <row r="92" spans="2:23">
      <c r="I92" s="315">
        <v>0</v>
      </c>
      <c r="J92" s="315">
        <v>0</v>
      </c>
      <c r="K92" s="315">
        <v>0</v>
      </c>
      <c r="L92" s="315">
        <v>0</v>
      </c>
      <c r="M92" s="315">
        <v>0</v>
      </c>
      <c r="N92" s="315">
        <v>9</v>
      </c>
      <c r="O92" s="315">
        <v>9</v>
      </c>
      <c r="P92" s="315">
        <v>9</v>
      </c>
      <c r="Q92" s="315">
        <v>9</v>
      </c>
      <c r="R92" s="315">
        <v>9</v>
      </c>
      <c r="S92" s="242"/>
      <c r="T92" s="242"/>
      <c r="U92" s="242"/>
      <c r="V92" s="242"/>
      <c r="W92" s="242"/>
    </row>
    <row r="93" spans="2:23">
      <c r="I93" s="315">
        <v>0</v>
      </c>
      <c r="J93" s="315">
        <v>0</v>
      </c>
      <c r="K93" s="315">
        <v>0</v>
      </c>
      <c r="L93" s="315">
        <v>0</v>
      </c>
      <c r="M93" s="315">
        <v>0</v>
      </c>
      <c r="N93" s="315">
        <v>3</v>
      </c>
      <c r="O93" s="315">
        <v>3</v>
      </c>
      <c r="P93" s="315">
        <v>3</v>
      </c>
      <c r="Q93" s="315">
        <v>3</v>
      </c>
      <c r="R93" s="315">
        <v>3</v>
      </c>
      <c r="S93" s="242"/>
      <c r="T93" s="242"/>
      <c r="U93" s="242"/>
      <c r="V93" s="242"/>
      <c r="W93" s="242"/>
    </row>
    <row r="94" spans="2:23">
      <c r="I94" s="315">
        <v>0</v>
      </c>
      <c r="J94" s="315">
        <v>0</v>
      </c>
      <c r="K94" s="315">
        <v>0</v>
      </c>
      <c r="L94" s="315">
        <v>0</v>
      </c>
      <c r="M94" s="315">
        <v>0</v>
      </c>
      <c r="N94" s="315">
        <v>0.25</v>
      </c>
      <c r="O94" s="315">
        <v>0.25</v>
      </c>
      <c r="P94" s="315">
        <v>0.25</v>
      </c>
      <c r="Q94" s="315">
        <v>0.25</v>
      </c>
      <c r="R94" s="315">
        <v>0.25</v>
      </c>
      <c r="S94" s="242"/>
      <c r="T94" s="242"/>
      <c r="U94" s="242"/>
      <c r="V94" s="242"/>
      <c r="W94" s="242"/>
    </row>
    <row r="95" spans="2:23">
      <c r="I95" s="315">
        <v>0</v>
      </c>
      <c r="J95" s="315">
        <v>0</v>
      </c>
      <c r="K95" s="315">
        <v>0</v>
      </c>
      <c r="L95" s="315">
        <v>0</v>
      </c>
      <c r="M95" s="315">
        <v>0</v>
      </c>
      <c r="N95" s="315">
        <v>1.2</v>
      </c>
      <c r="O95" s="315">
        <v>1.2</v>
      </c>
      <c r="P95" s="315">
        <v>1.2</v>
      </c>
      <c r="Q95" s="315">
        <v>1.2</v>
      </c>
      <c r="R95" s="315">
        <v>1.2</v>
      </c>
      <c r="S95" s="242"/>
      <c r="T95" s="242"/>
      <c r="U95" s="242"/>
      <c r="V95" s="242"/>
      <c r="W95" s="242"/>
    </row>
    <row r="96" spans="2:23">
      <c r="I96" s="315">
        <v>-0.33</v>
      </c>
      <c r="J96" s="315">
        <v>-0.33</v>
      </c>
      <c r="K96" s="315">
        <v>-0.33</v>
      </c>
      <c r="L96" s="315">
        <v>-0.33</v>
      </c>
      <c r="M96" s="315">
        <v>-0.33</v>
      </c>
      <c r="N96" s="315">
        <v>0.33</v>
      </c>
      <c r="O96" s="315">
        <v>0.33</v>
      </c>
      <c r="P96" s="315">
        <v>0.33</v>
      </c>
      <c r="Q96" s="315">
        <v>0.33</v>
      </c>
      <c r="R96" s="315">
        <v>0.33</v>
      </c>
      <c r="S96" s="242"/>
      <c r="T96" s="242"/>
      <c r="U96" s="242"/>
      <c r="V96" s="242"/>
      <c r="W96" s="242"/>
    </row>
    <row r="97" spans="9:23">
      <c r="I97" s="315">
        <v>-0.1</v>
      </c>
      <c r="J97" s="315">
        <v>-0.1</v>
      </c>
      <c r="K97" s="315">
        <v>-0.1</v>
      </c>
      <c r="L97" s="315">
        <v>-0.1</v>
      </c>
      <c r="M97" s="315">
        <v>-0.1</v>
      </c>
      <c r="N97" s="315">
        <v>0.5</v>
      </c>
      <c r="O97" s="315">
        <v>0.5</v>
      </c>
      <c r="P97" s="315">
        <v>0.5</v>
      </c>
      <c r="Q97" s="315">
        <v>0.5</v>
      </c>
      <c r="R97" s="315">
        <v>0.5</v>
      </c>
      <c r="S97" s="242"/>
      <c r="T97" s="242"/>
      <c r="U97" s="242"/>
      <c r="V97" s="242"/>
      <c r="W97" s="242"/>
    </row>
    <row r="98" spans="9:23">
      <c r="I98" s="315">
        <v>-0.1</v>
      </c>
      <c r="J98" s="315">
        <v>-0.1</v>
      </c>
      <c r="K98" s="315">
        <v>-0.1</v>
      </c>
      <c r="L98" s="315">
        <v>-0.1</v>
      </c>
      <c r="M98" s="315">
        <v>-0.1</v>
      </c>
      <c r="N98" s="315">
        <v>0.25</v>
      </c>
      <c r="O98" s="315">
        <v>0.25</v>
      </c>
      <c r="P98" s="315">
        <v>0.25</v>
      </c>
      <c r="Q98" s="315">
        <v>0.25</v>
      </c>
      <c r="R98" s="315">
        <v>0.25</v>
      </c>
      <c r="S98" s="242"/>
      <c r="T98" s="242"/>
      <c r="U98" s="242"/>
      <c r="V98" s="242"/>
      <c r="W98" s="242"/>
    </row>
    <row r="99" spans="9:23">
      <c r="I99" s="315">
        <v>0</v>
      </c>
      <c r="J99" s="315">
        <v>0</v>
      </c>
      <c r="K99" s="315">
        <v>0</v>
      </c>
      <c r="L99" s="315">
        <v>0</v>
      </c>
      <c r="M99" s="315">
        <v>0</v>
      </c>
      <c r="N99" s="315">
        <v>0.2</v>
      </c>
      <c r="O99" s="315">
        <v>0.2</v>
      </c>
      <c r="P99" s="315">
        <v>0.2</v>
      </c>
      <c r="Q99" s="315">
        <v>0.2</v>
      </c>
      <c r="R99" s="315">
        <v>0.2</v>
      </c>
      <c r="S99" s="242"/>
      <c r="T99" s="242"/>
      <c r="U99" s="242"/>
      <c r="V99" s="242"/>
      <c r="W99" s="242"/>
    </row>
    <row r="100" spans="9:23">
      <c r="I100" s="315">
        <v>0.03</v>
      </c>
      <c r="J100" s="315">
        <v>0.03</v>
      </c>
      <c r="K100" s="315">
        <v>0.03</v>
      </c>
      <c r="L100" s="315">
        <v>0.03</v>
      </c>
      <c r="M100" s="315">
        <v>0.03</v>
      </c>
      <c r="N100" s="315">
        <v>6.5000000000000002E-2</v>
      </c>
      <c r="O100" s="315">
        <v>6.5000000000000002E-2</v>
      </c>
      <c r="P100" s="315">
        <v>6.5000000000000002E-2</v>
      </c>
      <c r="Q100" s="315">
        <v>6.5000000000000002E-2</v>
      </c>
      <c r="R100" s="315">
        <v>6.5000000000000002E-2</v>
      </c>
      <c r="S100" s="242"/>
      <c r="T100" s="242"/>
      <c r="U100" s="242"/>
      <c r="V100" s="242"/>
      <c r="W100" s="242"/>
    </row>
    <row r="101" spans="9:23">
      <c r="I101" s="315">
        <v>-0.05</v>
      </c>
      <c r="J101" s="315">
        <v>-0.05</v>
      </c>
      <c r="K101" s="315">
        <v>-0.05</v>
      </c>
      <c r="L101" s="315">
        <v>-0.05</v>
      </c>
      <c r="M101" s="315">
        <v>-0.05</v>
      </c>
      <c r="N101" s="315">
        <v>0.05</v>
      </c>
      <c r="O101" s="315">
        <v>0.05</v>
      </c>
      <c r="P101" s="315">
        <v>0.05</v>
      </c>
      <c r="Q101" s="315">
        <v>0.05</v>
      </c>
      <c r="R101" s="315">
        <v>0.05</v>
      </c>
      <c r="S101" s="242"/>
      <c r="T101" s="242"/>
      <c r="U101" s="242"/>
      <c r="V101" s="242"/>
      <c r="W101" s="242"/>
    </row>
    <row r="102" spans="9:23">
      <c r="I102" s="315">
        <v>0</v>
      </c>
      <c r="J102" s="315">
        <v>0</v>
      </c>
      <c r="K102" s="315">
        <v>0</v>
      </c>
      <c r="L102" s="315">
        <v>0</v>
      </c>
      <c r="M102" s="315">
        <v>0</v>
      </c>
      <c r="N102" s="315">
        <v>0.1</v>
      </c>
      <c r="O102" s="315">
        <v>0.1</v>
      </c>
      <c r="P102" s="315">
        <v>0.1</v>
      </c>
      <c r="Q102" s="315">
        <v>0.1</v>
      </c>
      <c r="R102" s="315">
        <v>0.1</v>
      </c>
      <c r="S102" s="242"/>
      <c r="T102" s="242"/>
      <c r="U102" s="242"/>
      <c r="V102" s="242"/>
      <c r="W102" s="242"/>
    </row>
    <row r="103" spans="9:23">
      <c r="I103" s="315">
        <v>0</v>
      </c>
      <c r="J103" s="315">
        <v>0</v>
      </c>
      <c r="K103" s="315">
        <v>0</v>
      </c>
      <c r="L103" s="315">
        <v>0</v>
      </c>
      <c r="M103" s="315">
        <v>0</v>
      </c>
      <c r="N103" s="315">
        <v>1</v>
      </c>
      <c r="O103" s="315">
        <v>1</v>
      </c>
      <c r="P103" s="315">
        <v>1</v>
      </c>
      <c r="Q103" s="315">
        <v>1</v>
      </c>
      <c r="R103" s="315">
        <v>1</v>
      </c>
      <c r="S103" s="242"/>
      <c r="T103" s="242"/>
      <c r="U103" s="242"/>
      <c r="V103" s="242"/>
      <c r="W103" s="242"/>
    </row>
    <row r="104" spans="9:23">
      <c r="I104" s="315">
        <v>0</v>
      </c>
      <c r="J104" s="315">
        <v>0</v>
      </c>
      <c r="K104" s="315">
        <v>0</v>
      </c>
      <c r="L104" s="315">
        <v>0</v>
      </c>
      <c r="M104" s="315">
        <v>0</v>
      </c>
      <c r="N104" s="315">
        <v>0.7</v>
      </c>
      <c r="O104" s="315">
        <v>0.7</v>
      </c>
      <c r="P104" s="315">
        <v>0.7</v>
      </c>
      <c r="Q104" s="315">
        <v>0.7</v>
      </c>
      <c r="R104" s="315">
        <v>0.7</v>
      </c>
      <c r="S104" s="242"/>
      <c r="T104" s="242"/>
      <c r="U104" s="242"/>
      <c r="V104" s="242"/>
      <c r="W104" s="242"/>
    </row>
    <row r="105" spans="9:23">
      <c r="I105" s="315">
        <v>0</v>
      </c>
      <c r="J105" s="315">
        <v>0</v>
      </c>
      <c r="K105" s="315">
        <v>0</v>
      </c>
      <c r="L105" s="315">
        <v>0</v>
      </c>
      <c r="M105" s="315">
        <v>0</v>
      </c>
      <c r="N105" s="315">
        <v>0.1</v>
      </c>
      <c r="O105" s="315">
        <v>0.1</v>
      </c>
      <c r="P105" s="315">
        <v>0.1</v>
      </c>
      <c r="Q105" s="315">
        <v>0.1</v>
      </c>
      <c r="R105" s="315">
        <v>0.1</v>
      </c>
      <c r="S105" s="242"/>
      <c r="T105" s="242"/>
      <c r="U105" s="242"/>
      <c r="V105" s="242"/>
      <c r="W105" s="242"/>
    </row>
    <row r="106" spans="9:23">
      <c r="I106" s="315">
        <v>0</v>
      </c>
      <c r="J106" s="315">
        <v>0</v>
      </c>
      <c r="K106" s="315">
        <v>0</v>
      </c>
      <c r="L106" s="315">
        <v>0</v>
      </c>
      <c r="M106" s="315">
        <v>0</v>
      </c>
      <c r="N106" s="315">
        <v>0.1</v>
      </c>
      <c r="O106" s="315">
        <v>0.1</v>
      </c>
      <c r="P106" s="315">
        <v>0.1</v>
      </c>
      <c r="Q106" s="315">
        <v>0.1</v>
      </c>
      <c r="R106" s="315">
        <v>0.1</v>
      </c>
      <c r="S106" s="242"/>
      <c r="T106" s="242"/>
      <c r="U106" s="242"/>
      <c r="V106" s="242"/>
      <c r="W106" s="242"/>
    </row>
    <row r="107" spans="9:23">
      <c r="I107" s="315">
        <v>0</v>
      </c>
      <c r="J107" s="315">
        <v>0</v>
      </c>
      <c r="K107" s="315">
        <v>0</v>
      </c>
      <c r="L107" s="315">
        <v>0</v>
      </c>
      <c r="M107" s="315">
        <v>0</v>
      </c>
      <c r="N107" s="315">
        <v>1</v>
      </c>
      <c r="O107" s="315">
        <v>1</v>
      </c>
      <c r="P107" s="315">
        <v>1</v>
      </c>
      <c r="Q107" s="315">
        <v>1</v>
      </c>
      <c r="R107" s="315">
        <v>1</v>
      </c>
      <c r="S107" s="242"/>
      <c r="T107" s="242"/>
      <c r="U107" s="242"/>
      <c r="V107" s="242"/>
      <c r="W107" s="242"/>
    </row>
    <row r="108" spans="9:23">
      <c r="I108" s="315">
        <v>-0.05</v>
      </c>
      <c r="J108" s="315">
        <v>-0.05</v>
      </c>
      <c r="K108" s="315">
        <v>-0.05</v>
      </c>
      <c r="L108" s="315">
        <v>-0.05</v>
      </c>
      <c r="M108" s="315">
        <v>-0.05</v>
      </c>
      <c r="N108" s="315">
        <v>0.05</v>
      </c>
      <c r="O108" s="315">
        <v>0.05</v>
      </c>
      <c r="P108" s="315">
        <v>0.05</v>
      </c>
      <c r="Q108" s="315">
        <v>0.05</v>
      </c>
      <c r="R108" s="315">
        <v>0.05</v>
      </c>
      <c r="S108" s="242"/>
      <c r="T108" s="242"/>
      <c r="U108" s="242"/>
      <c r="V108" s="242"/>
      <c r="W108" s="242"/>
    </row>
    <row r="109" spans="9:23">
      <c r="I109" s="315">
        <v>0</v>
      </c>
      <c r="J109" s="315">
        <v>0</v>
      </c>
      <c r="K109" s="315">
        <v>0</v>
      </c>
      <c r="L109" s="315">
        <v>0</v>
      </c>
      <c r="M109" s="315">
        <v>0</v>
      </c>
      <c r="N109" s="315">
        <v>0.5</v>
      </c>
      <c r="O109" s="315">
        <v>0.5</v>
      </c>
      <c r="P109" s="315">
        <v>0.5</v>
      </c>
      <c r="Q109" s="315">
        <v>0.5</v>
      </c>
      <c r="R109" s="315">
        <v>0.5</v>
      </c>
      <c r="S109" s="242"/>
      <c r="T109" s="242"/>
      <c r="U109" s="242"/>
      <c r="V109" s="242"/>
      <c r="W109" s="242"/>
    </row>
    <row r="110" spans="9:23">
      <c r="I110" s="315">
        <v>0</v>
      </c>
      <c r="J110" s="315">
        <v>0</v>
      </c>
      <c r="K110" s="315">
        <v>0</v>
      </c>
      <c r="L110" s="315">
        <v>0</v>
      </c>
      <c r="M110" s="315">
        <v>0</v>
      </c>
      <c r="N110" s="315">
        <v>1</v>
      </c>
      <c r="O110" s="315">
        <v>1</v>
      </c>
      <c r="P110" s="315">
        <v>1</v>
      </c>
      <c r="Q110" s="315">
        <v>1</v>
      </c>
      <c r="R110" s="315">
        <v>1</v>
      </c>
      <c r="S110" s="242"/>
      <c r="T110" s="242"/>
      <c r="U110" s="242"/>
      <c r="V110" s="242"/>
      <c r="W110" s="242"/>
    </row>
    <row r="111" spans="9:23">
      <c r="I111" s="315">
        <v>1</v>
      </c>
      <c r="J111" s="315">
        <v>1</v>
      </c>
      <c r="K111" s="315">
        <v>1</v>
      </c>
      <c r="L111" s="315">
        <v>1</v>
      </c>
      <c r="M111" s="315">
        <v>1</v>
      </c>
      <c r="N111" s="315">
        <v>9</v>
      </c>
      <c r="O111" s="315">
        <v>9</v>
      </c>
      <c r="P111" s="315">
        <v>9</v>
      </c>
      <c r="Q111" s="315">
        <v>9</v>
      </c>
      <c r="R111" s="315">
        <v>9</v>
      </c>
      <c r="S111" s="242"/>
      <c r="T111" s="242"/>
      <c r="U111" s="242"/>
      <c r="V111" s="242"/>
      <c r="W111" s="242"/>
    </row>
    <row r="112" spans="9:23">
      <c r="I112" s="315">
        <v>100000</v>
      </c>
      <c r="J112" s="315">
        <v>100000</v>
      </c>
      <c r="K112" s="315">
        <v>100000</v>
      </c>
      <c r="L112" s="315">
        <v>100000</v>
      </c>
      <c r="M112" s="315">
        <v>100000</v>
      </c>
      <c r="N112" s="315">
        <v>250000</v>
      </c>
      <c r="O112" s="315">
        <v>250000</v>
      </c>
      <c r="P112" s="315">
        <v>250000</v>
      </c>
      <c r="Q112" s="315">
        <v>250000</v>
      </c>
      <c r="R112" s="315">
        <v>250000</v>
      </c>
      <c r="S112" s="242"/>
      <c r="T112" s="242"/>
      <c r="U112" s="242"/>
      <c r="V112" s="242"/>
      <c r="W112" s="242"/>
    </row>
    <row r="113" spans="9:23">
      <c r="I113" s="315">
        <v>50000</v>
      </c>
      <c r="J113" s="315">
        <v>50000</v>
      </c>
      <c r="K113" s="315">
        <v>50000</v>
      </c>
      <c r="L113" s="315">
        <v>50000</v>
      </c>
      <c r="M113" s="315">
        <v>50000</v>
      </c>
      <c r="N113" s="315">
        <v>250000</v>
      </c>
      <c r="O113" s="315">
        <v>250000</v>
      </c>
      <c r="P113" s="315">
        <v>250000</v>
      </c>
      <c r="Q113" s="315">
        <v>250000</v>
      </c>
      <c r="R113" s="315">
        <v>250000</v>
      </c>
      <c r="S113" s="242"/>
      <c r="T113" s="242"/>
      <c r="U113" s="242"/>
      <c r="V113" s="242"/>
      <c r="W113" s="242"/>
    </row>
    <row r="114" spans="9:23">
      <c r="I114" s="315">
        <v>0.1</v>
      </c>
      <c r="J114" s="315">
        <v>0.1</v>
      </c>
      <c r="K114" s="315">
        <v>0.1</v>
      </c>
      <c r="L114" s="315">
        <v>0.1</v>
      </c>
      <c r="M114" s="315">
        <v>0.1</v>
      </c>
      <c r="N114" s="315">
        <v>0.5</v>
      </c>
      <c r="O114" s="315">
        <v>0.5</v>
      </c>
      <c r="P114" s="315">
        <v>0.5</v>
      </c>
      <c r="Q114" s="315">
        <v>0.5</v>
      </c>
      <c r="R114" s="315">
        <v>0.5</v>
      </c>
      <c r="S114" s="242"/>
      <c r="T114" s="242"/>
      <c r="U114" s="242"/>
      <c r="V114" s="242"/>
      <c r="W114" s="242"/>
    </row>
    <row r="115" spans="9:23">
      <c r="I115" s="315">
        <v>0</v>
      </c>
      <c r="J115" s="315">
        <v>0</v>
      </c>
      <c r="K115" s="315">
        <v>0</v>
      </c>
      <c r="L115" s="315">
        <v>0</v>
      </c>
      <c r="M115" s="315">
        <v>0</v>
      </c>
      <c r="N115" s="315">
        <v>0.15</v>
      </c>
      <c r="O115" s="315">
        <v>0.15</v>
      </c>
      <c r="P115" s="315">
        <v>0.15</v>
      </c>
      <c r="Q115" s="315">
        <v>0.15</v>
      </c>
      <c r="R115" s="315">
        <v>0.15</v>
      </c>
      <c r="S115" s="242"/>
      <c r="T115" s="242"/>
      <c r="U115" s="242"/>
      <c r="V115" s="242"/>
      <c r="W115" s="242"/>
    </row>
    <row r="116" spans="9:23">
      <c r="I116" s="315">
        <v>0</v>
      </c>
      <c r="J116" s="315">
        <v>0</v>
      </c>
      <c r="K116" s="315">
        <v>0</v>
      </c>
      <c r="L116" s="315">
        <v>0</v>
      </c>
      <c r="M116" s="315">
        <v>0</v>
      </c>
      <c r="N116" s="315">
        <v>0.4</v>
      </c>
      <c r="O116" s="315">
        <v>0.4</v>
      </c>
      <c r="P116" s="315">
        <v>0.4</v>
      </c>
      <c r="Q116" s="315">
        <v>0.4</v>
      </c>
      <c r="R116" s="315">
        <v>0.4</v>
      </c>
      <c r="S116" s="242"/>
      <c r="T116" s="242"/>
      <c r="U116" s="242"/>
      <c r="V116" s="242"/>
      <c r="W116" s="242"/>
    </row>
    <row r="117" spans="9:23">
      <c r="I117" s="315">
        <v>0</v>
      </c>
      <c r="J117" s="315">
        <v>0</v>
      </c>
      <c r="K117" s="315">
        <v>0</v>
      </c>
      <c r="L117" s="315">
        <v>0</v>
      </c>
      <c r="M117" s="315">
        <v>0</v>
      </c>
      <c r="N117" s="315">
        <v>0.2</v>
      </c>
      <c r="O117" s="315">
        <v>0.2</v>
      </c>
      <c r="P117" s="315">
        <v>0.2</v>
      </c>
      <c r="Q117" s="315">
        <v>0.2</v>
      </c>
      <c r="R117" s="315">
        <v>0.2</v>
      </c>
      <c r="S117" s="242"/>
      <c r="T117" s="242"/>
      <c r="U117" s="242"/>
      <c r="V117" s="242"/>
      <c r="W117" s="242"/>
    </row>
    <row r="118" spans="9:23">
      <c r="I118" s="315">
        <v>0</v>
      </c>
      <c r="J118" s="315">
        <v>0</v>
      </c>
      <c r="K118" s="315">
        <v>0</v>
      </c>
      <c r="L118" s="315">
        <v>0</v>
      </c>
      <c r="M118" s="315">
        <v>0</v>
      </c>
      <c r="N118" s="315">
        <v>0.25</v>
      </c>
      <c r="O118" s="315">
        <v>0.25</v>
      </c>
      <c r="P118" s="315">
        <v>0.25</v>
      </c>
      <c r="Q118" s="315">
        <v>0.25</v>
      </c>
      <c r="R118" s="315">
        <v>0.25</v>
      </c>
      <c r="S118" s="242"/>
      <c r="T118" s="242"/>
      <c r="U118" s="242"/>
      <c r="V118" s="242"/>
      <c r="W118" s="242"/>
    </row>
    <row r="119" spans="9:23">
      <c r="I119" s="315">
        <v>1.5</v>
      </c>
      <c r="J119" s="315">
        <v>1.5</v>
      </c>
      <c r="K119" s="315">
        <v>1.5</v>
      </c>
      <c r="L119" s="315">
        <v>1.5</v>
      </c>
      <c r="M119" s="315">
        <v>1.5</v>
      </c>
      <c r="N119" s="315"/>
      <c r="O119" s="315"/>
      <c r="P119" s="315"/>
      <c r="Q119" s="315"/>
      <c r="R119" s="315"/>
      <c r="S119" s="242"/>
      <c r="T119" s="242"/>
      <c r="U119" s="242"/>
      <c r="V119" s="242"/>
      <c r="W119" s="242"/>
    </row>
    <row r="120" spans="9:23">
      <c r="I120" s="316"/>
      <c r="J120" s="316"/>
      <c r="K120" s="316"/>
      <c r="L120" s="316"/>
      <c r="M120" s="316"/>
      <c r="N120" s="316"/>
      <c r="O120" s="316"/>
      <c r="P120" s="316"/>
      <c r="Q120" s="316"/>
      <c r="R120" s="316"/>
      <c r="S120" s="242"/>
      <c r="T120" s="242"/>
      <c r="U120" s="242"/>
      <c r="V120" s="242"/>
      <c r="W120" s="242"/>
    </row>
    <row r="121" spans="9:23">
      <c r="I121" s="242"/>
      <c r="J121" s="242"/>
      <c r="K121" s="242"/>
      <c r="L121" s="242"/>
      <c r="M121" s="242"/>
      <c r="N121" s="242"/>
      <c r="O121" s="242"/>
      <c r="P121" s="242"/>
      <c r="Q121" s="242"/>
      <c r="R121" s="242"/>
      <c r="S121" s="242"/>
      <c r="T121" s="242"/>
      <c r="U121" s="242"/>
      <c r="V121" s="242"/>
      <c r="W121" s="242"/>
    </row>
    <row r="122" spans="9:23">
      <c r="I122" s="242"/>
      <c r="J122" s="242"/>
      <c r="K122" s="242"/>
      <c r="L122" s="242"/>
      <c r="M122" s="242"/>
      <c r="N122" s="242"/>
      <c r="O122" s="242"/>
      <c r="P122" s="242"/>
      <c r="Q122" s="242"/>
      <c r="R122" s="242"/>
      <c r="S122" s="242"/>
      <c r="T122" s="242"/>
      <c r="U122" s="242"/>
      <c r="V122" s="242"/>
      <c r="W122" s="242"/>
    </row>
    <row r="123" spans="9:23">
      <c r="I123" s="242"/>
      <c r="J123" s="242"/>
      <c r="K123" s="242"/>
      <c r="L123" s="242"/>
      <c r="M123" s="242"/>
      <c r="N123" s="242"/>
      <c r="O123" s="242"/>
      <c r="P123" s="242"/>
      <c r="Q123" s="242"/>
      <c r="R123" s="242"/>
      <c r="S123" s="242"/>
      <c r="T123" s="242"/>
      <c r="U123" s="242"/>
      <c r="V123" s="242"/>
      <c r="W123" s="242"/>
    </row>
  </sheetData>
  <phoneticPr fontId="67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/>
  <dimension ref="B1:P45"/>
  <sheetViews>
    <sheetView topLeftCell="A22" workbookViewId="0">
      <selection activeCell="H44" sqref="H44"/>
    </sheetView>
  </sheetViews>
  <sheetFormatPr defaultColWidth="8.90625" defaultRowHeight="14.5"/>
  <cols>
    <col min="1" max="1" width="8.90625" style="181"/>
    <col min="2" max="2" width="14.1796875" style="181" customWidth="1"/>
    <col min="3" max="6" width="1.81640625" style="181" customWidth="1"/>
    <col min="7" max="7" width="54" style="181" customWidth="1"/>
    <col min="8" max="8" width="14.36328125" style="181" customWidth="1"/>
    <col min="9" max="9" width="1.81640625" style="181" customWidth="1"/>
    <col min="10" max="10" width="14.81640625" style="181" bestFit="1" customWidth="1"/>
    <col min="11" max="11" width="1.81640625" style="181" customWidth="1"/>
    <col min="12" max="12" width="14.81640625" style="181" bestFit="1" customWidth="1"/>
    <col min="13" max="13" width="1.81640625" style="181" customWidth="1"/>
    <col min="14" max="14" width="14.81640625" style="181" bestFit="1" customWidth="1"/>
    <col min="15" max="15" width="1.81640625" style="181" customWidth="1"/>
    <col min="16" max="16" width="14.81640625" style="181" bestFit="1" customWidth="1"/>
    <col min="17" max="16384" width="8.90625" style="181"/>
  </cols>
  <sheetData>
    <row r="1" spans="2:16" s="179" customFormat="1" ht="20">
      <c r="B1" s="179" t="str">
        <f>'1-Start'!C7</f>
        <v>American Captive Company</v>
      </c>
    </row>
    <row r="2" spans="2:16" ht="26">
      <c r="B2" s="185" t="s">
        <v>374</v>
      </c>
      <c r="G2" s="208"/>
      <c r="N2" s="234"/>
      <c r="P2" s="234"/>
    </row>
    <row r="3" spans="2:16" ht="3" customHeight="1"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</row>
    <row r="4" spans="2:16" ht="15" thickBot="1">
      <c r="H4" s="195"/>
      <c r="I4" s="209"/>
      <c r="J4" s="195"/>
      <c r="K4" s="209"/>
      <c r="L4" s="196" t="s">
        <v>59</v>
      </c>
      <c r="M4" s="209"/>
      <c r="N4" s="195"/>
      <c r="O4" s="209"/>
      <c r="P4" s="195"/>
    </row>
    <row r="5" spans="2:16">
      <c r="B5" s="210" t="s">
        <v>74</v>
      </c>
      <c r="H5" s="197">
        <v>43830</v>
      </c>
      <c r="I5" s="184"/>
      <c r="J5" s="197">
        <v>44196</v>
      </c>
      <c r="K5" s="184"/>
      <c r="L5" s="197">
        <v>44561</v>
      </c>
      <c r="M5" s="184"/>
      <c r="N5" s="197">
        <v>44926</v>
      </c>
      <c r="O5" s="184"/>
      <c r="P5" s="197">
        <v>45291</v>
      </c>
    </row>
    <row r="7" spans="2:16">
      <c r="B7" s="181" t="s">
        <v>115</v>
      </c>
      <c r="H7" s="235">
        <f>xModel!Y35</f>
        <v>0.27374378721646903</v>
      </c>
      <c r="I7" s="235">
        <f>xModel!Z35</f>
        <v>0</v>
      </c>
      <c r="J7" s="235">
        <f>xModel!AA35</f>
        <v>0.26336771245617319</v>
      </c>
      <c r="K7" s="235">
        <f>xModel!AB35</f>
        <v>0</v>
      </c>
      <c r="L7" s="235">
        <f>xModel!AC35</f>
        <v>0.24539144266484914</v>
      </c>
      <c r="M7" s="235">
        <f>xModel!AD35</f>
        <v>0</v>
      </c>
      <c r="N7" s="235">
        <f>xModel!AE35</f>
        <v>0.24913175513228941</v>
      </c>
      <c r="O7" s="235">
        <f>xModel!AF35</f>
        <v>0</v>
      </c>
      <c r="P7" s="235">
        <f>xModel!AG35</f>
        <v>0.23704440145499375</v>
      </c>
    </row>
    <row r="8" spans="2:16">
      <c r="B8" s="181" t="s">
        <v>116</v>
      </c>
      <c r="H8" s="235">
        <f>xModel!Y36</f>
        <v>0.27776020349151503</v>
      </c>
      <c r="I8" s="235">
        <f>xModel!Z36</f>
        <v>0</v>
      </c>
      <c r="J8" s="235">
        <f>xModel!AA36</f>
        <v>0.26703581404699683</v>
      </c>
      <c r="K8" s="235">
        <f>xModel!AB36</f>
        <v>0</v>
      </c>
      <c r="L8" s="235">
        <f>xModel!AC36</f>
        <v>0.24913857947685436</v>
      </c>
      <c r="M8" s="235">
        <f>xModel!AD36</f>
        <v>0</v>
      </c>
      <c r="N8" s="235">
        <f>xModel!AE36</f>
        <v>0.25178099183065111</v>
      </c>
      <c r="O8" s="235">
        <f>xModel!AF36</f>
        <v>0</v>
      </c>
      <c r="P8" s="235">
        <f>xModel!AG36</f>
        <v>0.23956510270860268</v>
      </c>
    </row>
    <row r="9" spans="2:16">
      <c r="B9" s="181" t="s">
        <v>242</v>
      </c>
      <c r="H9" s="235">
        <f>xModel!Y37</f>
        <v>0.20331534998252304</v>
      </c>
      <c r="I9" s="235">
        <f>xModel!Z37</f>
        <v>0</v>
      </c>
      <c r="J9" s="235">
        <f>xModel!AA37</f>
        <v>0.19177335090828496</v>
      </c>
      <c r="K9" s="235">
        <f>xModel!AB37</f>
        <v>0</v>
      </c>
      <c r="L9" s="235">
        <f>xModel!AC37</f>
        <v>0.17518017964379382</v>
      </c>
      <c r="M9" s="235">
        <f>xModel!AD37</f>
        <v>0</v>
      </c>
      <c r="N9" s="235">
        <f>xModel!AE37</f>
        <v>0.17436305489160844</v>
      </c>
      <c r="O9" s="235">
        <f>xModel!AF37</f>
        <v>0</v>
      </c>
      <c r="P9" s="235">
        <f>xModel!AG37</f>
        <v>0.16265031643596908</v>
      </c>
    </row>
    <row r="10" spans="2:16">
      <c r="B10" s="181" t="s">
        <v>48</v>
      </c>
      <c r="H10" s="235">
        <f>xModel!Y38</f>
        <v>0.60697532102714757</v>
      </c>
      <c r="I10" s="235">
        <f>xModel!Z38</f>
        <v>0</v>
      </c>
      <c r="J10" s="235">
        <f>xModel!AA38</f>
        <v>0.56661674098063242</v>
      </c>
      <c r="K10" s="235">
        <f>xModel!AB38</f>
        <v>0</v>
      </c>
      <c r="L10" s="235">
        <f>xModel!AC38</f>
        <v>0.41411248134836709</v>
      </c>
      <c r="M10" s="235">
        <f>xModel!AD38</f>
        <v>0</v>
      </c>
      <c r="N10" s="235">
        <f>xModel!AE38</f>
        <v>0.41083530269208396</v>
      </c>
      <c r="O10" s="235">
        <f>xModel!AF38</f>
        <v>0</v>
      </c>
      <c r="P10" s="235">
        <f>xModel!AG38</f>
        <v>0.34601185885457558</v>
      </c>
    </row>
    <row r="11" spans="2:16">
      <c r="B11" s="181" t="s">
        <v>207</v>
      </c>
      <c r="H11" s="235">
        <f>xModel!Y39</f>
        <v>-0.85159228409821408</v>
      </c>
      <c r="I11" s="235">
        <f>xModel!Z39</f>
        <v>0</v>
      </c>
      <c r="J11" s="235">
        <f>xModel!AA39</f>
        <v>1.925159897439151E-2</v>
      </c>
      <c r="K11" s="235">
        <f>xModel!AB39</f>
        <v>0</v>
      </c>
      <c r="L11" s="235">
        <f>xModel!AC39</f>
        <v>2.1350396492466402E-2</v>
      </c>
      <c r="M11" s="235">
        <f>xModel!AD39</f>
        <v>0</v>
      </c>
      <c r="N11" s="235">
        <f>xModel!AE39</f>
        <v>1.5342240348841513E-2</v>
      </c>
      <c r="O11" s="235">
        <f>xModel!AF39</f>
        <v>0</v>
      </c>
      <c r="P11" s="235">
        <f>xModel!AG39</f>
        <v>1.9999999999999928E-2</v>
      </c>
    </row>
    <row r="12" spans="2:16">
      <c r="B12" s="181" t="s">
        <v>118</v>
      </c>
      <c r="H12" s="235">
        <f>xModel!Y40</f>
        <v>2.8324485907608051E-2</v>
      </c>
      <c r="I12" s="235">
        <f>xModel!Z40</f>
        <v>0</v>
      </c>
      <c r="J12" s="235">
        <f>xModel!AA40</f>
        <v>6.0185625477014233E-2</v>
      </c>
      <c r="K12" s="235">
        <f>xModel!AB40</f>
        <v>0</v>
      </c>
      <c r="L12" s="235">
        <f>xModel!AC40</f>
        <v>9.4720597377118826E-2</v>
      </c>
      <c r="M12" s="235">
        <f>xModel!AD40</f>
        <v>0</v>
      </c>
      <c r="N12" s="235">
        <f>xModel!AE40</f>
        <v>4.6863411098948217E-3</v>
      </c>
      <c r="O12" s="235">
        <f>xModel!AF40</f>
        <v>0</v>
      </c>
      <c r="P12" s="235">
        <f>xModel!AG40</f>
        <v>7.2011777857501555E-2</v>
      </c>
    </row>
    <row r="13" spans="2:16">
      <c r="B13" s="188" t="s">
        <v>364</v>
      </c>
      <c r="H13" s="235">
        <f>xModel!Y41</f>
        <v>2.8324485907608051E-2</v>
      </c>
      <c r="I13" s="235">
        <f>xModel!Z41</f>
        <v>0</v>
      </c>
      <c r="J13" s="235">
        <f>xModel!AA41</f>
        <v>6.0185625477014233E-2</v>
      </c>
      <c r="K13" s="235">
        <f>xModel!AB41</f>
        <v>0</v>
      </c>
      <c r="L13" s="235">
        <f>xModel!AC41</f>
        <v>9.4720597377118826E-2</v>
      </c>
      <c r="M13" s="235">
        <f>xModel!AD41</f>
        <v>0</v>
      </c>
      <c r="N13" s="235">
        <f>xModel!AE41</f>
        <v>4.6863411098948217E-3</v>
      </c>
      <c r="O13" s="235">
        <f>xModel!AF41</f>
        <v>0</v>
      </c>
      <c r="P13" s="235">
        <f>xModel!AG41</f>
        <v>7.2011777857501555E-2</v>
      </c>
    </row>
    <row r="14" spans="2:16">
      <c r="B14" s="181" t="s">
        <v>119</v>
      </c>
      <c r="H14" s="235">
        <f>xModel!Y42</f>
        <v>9.0040513693569149E-2</v>
      </c>
      <c r="I14" s="235">
        <f>xModel!Z42</f>
        <v>0</v>
      </c>
      <c r="J14" s="235">
        <f>xModel!AA42</f>
        <v>2.0406848967773991E-2</v>
      </c>
      <c r="K14" s="235">
        <f>xModel!AB42</f>
        <v>0</v>
      </c>
      <c r="L14" s="235">
        <f>xModel!AC42</f>
        <v>-8.8721524071487846E-3</v>
      </c>
      <c r="M14" s="235">
        <f>xModel!AD42</f>
        <v>0</v>
      </c>
      <c r="N14" s="235">
        <f>xModel!AE42</f>
        <v>2.328000951283046E-3</v>
      </c>
      <c r="O14" s="235">
        <f>xModel!AF42</f>
        <v>0</v>
      </c>
      <c r="P14" s="235">
        <f>xModel!AG42</f>
        <v>-1.7110470188009513E-2</v>
      </c>
    </row>
    <row r="15" spans="2:16">
      <c r="B15" s="181" t="s">
        <v>280</v>
      </c>
      <c r="H15" s="235">
        <f>xModel!Y43</f>
        <v>8.932856219003521E-2</v>
      </c>
      <c r="I15" s="235">
        <f>xModel!Z43</f>
        <v>0</v>
      </c>
      <c r="J15" s="235">
        <f>xModel!AA43</f>
        <v>8.1217405869480994E-2</v>
      </c>
      <c r="K15" s="235">
        <f>xModel!AB43</f>
        <v>0</v>
      </c>
      <c r="L15" s="235">
        <f>xModel!AC43</f>
        <v>7.2399178584110352E-2</v>
      </c>
      <c r="M15" s="235">
        <f>xModel!AD43</f>
        <v>0</v>
      </c>
      <c r="N15" s="235">
        <f>xModel!AE43</f>
        <v>1.1085228397739756E-3</v>
      </c>
      <c r="O15" s="235">
        <f>xModel!AF43</f>
        <v>0</v>
      </c>
      <c r="P15" s="235">
        <f>xModel!AG43</f>
        <v>3.9947855563641291E-2</v>
      </c>
    </row>
    <row r="16" spans="2:16">
      <c r="B16" s="181" t="s">
        <v>124</v>
      </c>
      <c r="H16" s="235">
        <f>xModel!Y44</f>
        <v>0</v>
      </c>
      <c r="I16" s="235">
        <f>xModel!Z44</f>
        <v>0</v>
      </c>
      <c r="J16" s="235">
        <f>xModel!AA44</f>
        <v>0</v>
      </c>
      <c r="K16" s="235">
        <f>xModel!AB44</f>
        <v>0</v>
      </c>
      <c r="L16" s="235">
        <f>xModel!AC44</f>
        <v>0</v>
      </c>
      <c r="M16" s="235">
        <f>xModel!AD44</f>
        <v>0</v>
      </c>
      <c r="N16" s="235">
        <f>xModel!AE44</f>
        <v>0</v>
      </c>
      <c r="O16" s="235">
        <f>xModel!AF44</f>
        <v>0</v>
      </c>
      <c r="P16" s="235">
        <f>xModel!AG44</f>
        <v>0</v>
      </c>
    </row>
    <row r="17" spans="2:16">
      <c r="B17" s="181" t="s">
        <v>127</v>
      </c>
      <c r="H17" s="235">
        <f>xModel!Y45</f>
        <v>9.0040513693569149E-2</v>
      </c>
      <c r="I17" s="235">
        <f>xModel!Z45</f>
        <v>0</v>
      </c>
      <c r="J17" s="235">
        <f>xModel!AA45</f>
        <v>2.0406848967773991E-2</v>
      </c>
      <c r="K17" s="235">
        <f>xModel!AB45</f>
        <v>0</v>
      </c>
      <c r="L17" s="235">
        <f>xModel!AC45</f>
        <v>-8.8721524071487846E-3</v>
      </c>
      <c r="M17" s="235">
        <f>xModel!AD45</f>
        <v>0</v>
      </c>
      <c r="N17" s="235">
        <f>xModel!AE45</f>
        <v>2.328000951283046E-3</v>
      </c>
      <c r="O17" s="235">
        <f>xModel!AF45</f>
        <v>0</v>
      </c>
      <c r="P17" s="235">
        <f>xModel!AG45</f>
        <v>-1.7110470188009513E-2</v>
      </c>
    </row>
    <row r="18" spans="2:16">
      <c r="B18" s="181" t="s">
        <v>128</v>
      </c>
      <c r="H18" s="235">
        <f>xModel!Y46</f>
        <v>2.7926060058315367</v>
      </c>
      <c r="I18" s="235">
        <f>xModel!Z46</f>
        <v>0</v>
      </c>
      <c r="J18" s="235">
        <f>xModel!AA46</f>
        <v>2.1279784421423149</v>
      </c>
      <c r="K18" s="235">
        <f>xModel!AB46</f>
        <v>0</v>
      </c>
      <c r="L18" s="235">
        <f>xModel!AC46</f>
        <v>1.618919467604814</v>
      </c>
      <c r="M18" s="235">
        <f>xModel!AD46</f>
        <v>0</v>
      </c>
      <c r="N18" s="235">
        <f>xModel!AE46</f>
        <v>1.5931812839451909</v>
      </c>
      <c r="O18" s="235">
        <f>xModel!AF46</f>
        <v>0</v>
      </c>
      <c r="P18" s="235">
        <f>xModel!AG46</f>
        <v>1.3343337574559744</v>
      </c>
    </row>
    <row r="19" spans="2:16">
      <c r="B19" s="181" t="s">
        <v>73</v>
      </c>
      <c r="H19" s="235">
        <f>xModel!Y47</f>
        <v>1.0261838100341627</v>
      </c>
      <c r="I19" s="235">
        <f>xModel!Z47</f>
        <v>0</v>
      </c>
      <c r="J19" s="235">
        <f>xModel!AA47</f>
        <v>0.86046340716328096</v>
      </c>
      <c r="K19" s="235">
        <f>xModel!AB47</f>
        <v>0</v>
      </c>
      <c r="L19" s="235">
        <f>xModel!AC47</f>
        <v>0.67352330451917186</v>
      </c>
      <c r="M19" s="235">
        <f>xModel!AD47</f>
        <v>0</v>
      </c>
      <c r="N19" s="235">
        <f>xModel!AE47</f>
        <v>0.72357154334568408</v>
      </c>
      <c r="O19" s="235">
        <f>xModel!AF47</f>
        <v>0</v>
      </c>
      <c r="P19" s="235">
        <f>xModel!AG47</f>
        <v>0.59713528035234897</v>
      </c>
    </row>
    <row r="20" spans="2:16">
      <c r="B20" s="181" t="s">
        <v>132</v>
      </c>
      <c r="H20" s="235">
        <f>xModel!Y48</f>
        <v>0.25186292711986191</v>
      </c>
      <c r="I20" s="235">
        <f>xModel!Z48</f>
        <v>0</v>
      </c>
      <c r="J20" s="235">
        <f>xModel!AA48</f>
        <v>0.2539803018371955</v>
      </c>
      <c r="K20" s="235">
        <f>xModel!AB48</f>
        <v>0</v>
      </c>
      <c r="L20" s="235">
        <f>xModel!AC48</f>
        <v>0.25560385040069816</v>
      </c>
      <c r="M20" s="235">
        <f>xModel!AD48</f>
        <v>0</v>
      </c>
      <c r="N20" s="235">
        <f>xModel!AE48</f>
        <v>0.25877442878444634</v>
      </c>
      <c r="O20" s="235">
        <f>xModel!AF48</f>
        <v>0</v>
      </c>
      <c r="P20" s="235">
        <f>xModel!AG48</f>
        <v>0.26080222803328773</v>
      </c>
    </row>
    <row r="21" spans="2:16">
      <c r="B21" s="181" t="s">
        <v>134</v>
      </c>
      <c r="H21" s="235">
        <f>xModel!Y49</f>
        <v>0</v>
      </c>
      <c r="I21" s="235">
        <f>xModel!Z49</f>
        <v>0</v>
      </c>
      <c r="J21" s="235">
        <f>xModel!AA49</f>
        <v>0</v>
      </c>
      <c r="K21" s="235">
        <f>xModel!AB49</f>
        <v>0</v>
      </c>
      <c r="L21" s="235">
        <f>xModel!AC49</f>
        <v>0</v>
      </c>
      <c r="M21" s="235">
        <f>xModel!AD49</f>
        <v>0</v>
      </c>
      <c r="N21" s="235">
        <f>xModel!AE49</f>
        <v>0</v>
      </c>
      <c r="O21" s="235">
        <f>xModel!AF49</f>
        <v>0</v>
      </c>
      <c r="P21" s="235">
        <f>xModel!AG49</f>
        <v>0</v>
      </c>
    </row>
    <row r="22" spans="2:16">
      <c r="B22" s="181" t="s">
        <v>135</v>
      </c>
      <c r="H22" s="235">
        <f>xModel!Y50</f>
        <v>1.5299096642738865</v>
      </c>
      <c r="I22" s="235">
        <f>xModel!Z50</f>
        <v>0</v>
      </c>
      <c r="J22" s="235">
        <f>xModel!AA50</f>
        <v>1.368424010837672</v>
      </c>
      <c r="K22" s="235">
        <f>xModel!AB50</f>
        <v>0</v>
      </c>
      <c r="L22" s="235">
        <f>xModel!AC50</f>
        <v>1.1847310053205682</v>
      </c>
      <c r="M22" s="235">
        <f>xModel!AD50</f>
        <v>0</v>
      </c>
      <c r="N22" s="235">
        <f>xModel!AE50</f>
        <v>1.2411204009145766</v>
      </c>
      <c r="O22" s="235">
        <f>xModel!AF50</f>
        <v>0</v>
      </c>
      <c r="P22" s="235">
        <f>xModel!AG50</f>
        <v>1.1187397364189244</v>
      </c>
    </row>
    <row r="23" spans="2:16">
      <c r="B23" s="181" t="s">
        <v>47</v>
      </c>
      <c r="H23" s="235">
        <f>xModel!Y51</f>
        <v>0.4020039636130055</v>
      </c>
      <c r="I23" s="235">
        <f>xModel!Z51</f>
        <v>0</v>
      </c>
      <c r="J23" s="235">
        <f>xModel!AA51</f>
        <v>0.38018030539897529</v>
      </c>
      <c r="K23" s="235">
        <f>xModel!AB51</f>
        <v>0</v>
      </c>
      <c r="L23" s="235">
        <f>xModel!AC51</f>
        <v>0.36324752842441865</v>
      </c>
      <c r="M23" s="235">
        <f>xModel!AD51</f>
        <v>0</v>
      </c>
      <c r="N23" s="235">
        <f>xModel!AE51</f>
        <v>5.5034080994067472E-3</v>
      </c>
      <c r="O23" s="235">
        <f>xModel!AF51</f>
        <v>0</v>
      </c>
      <c r="P23" s="235">
        <f>xModel!AG51</f>
        <v>0.20843945503736541</v>
      </c>
    </row>
    <row r="24" spans="2:16">
      <c r="B24" s="181" t="s">
        <v>114</v>
      </c>
      <c r="H24" s="235">
        <f>xModel!Y52</f>
        <v>1.127905700660881</v>
      </c>
      <c r="I24" s="235">
        <f>xModel!Z52</f>
        <v>0</v>
      </c>
      <c r="J24" s="235">
        <f>xModel!AA52</f>
        <v>0.98824370543869666</v>
      </c>
      <c r="K24" s="235">
        <f>xModel!AB52</f>
        <v>0</v>
      </c>
      <c r="L24" s="235">
        <f>xModel!AC52</f>
        <v>0.82148347689614953</v>
      </c>
      <c r="M24" s="235">
        <f>xModel!AD52</f>
        <v>0</v>
      </c>
      <c r="N24" s="235">
        <f>xModel!AE52</f>
        <v>1.2356169928151699</v>
      </c>
      <c r="O24" s="235">
        <f>xModel!AF52</f>
        <v>0</v>
      </c>
      <c r="P24" s="235">
        <f>xModel!AG52</f>
        <v>0.91030028138155905</v>
      </c>
    </row>
    <row r="25" spans="2:16">
      <c r="B25" s="188" t="s">
        <v>362</v>
      </c>
      <c r="H25" s="235">
        <f>xModel!Y53</f>
        <v>0.21426476482606308</v>
      </c>
      <c r="I25" s="235">
        <f>xModel!Z53</f>
        <v>0</v>
      </c>
      <c r="J25" s="235">
        <f>xModel!AA53</f>
        <v>0.94977357913613347</v>
      </c>
      <c r="K25" s="235">
        <f>xModel!AB53</f>
        <v>0</v>
      </c>
      <c r="L25" s="235">
        <f>xModel!AC53</f>
        <v>0.90855748427238892</v>
      </c>
      <c r="M25" s="235">
        <f>xModel!AD53</f>
        <v>0</v>
      </c>
      <c r="N25" s="235">
        <f>xModel!AE53</f>
        <v>1.0912925457508313</v>
      </c>
      <c r="O25" s="235">
        <f>xModel!AF53</f>
        <v>0</v>
      </c>
      <c r="P25" s="235">
        <f>xModel!AG53</f>
        <v>1.1002636520532589</v>
      </c>
    </row>
    <row r="26" spans="2:16">
      <c r="B26" s="181" t="s">
        <v>38</v>
      </c>
      <c r="H26" s="235">
        <f>xModel!Y54</f>
        <v>2.5751671214088621</v>
      </c>
      <c r="I26" s="235">
        <f>xModel!Z54</f>
        <v>0</v>
      </c>
      <c r="J26" s="235">
        <f>xModel!AA54</f>
        <v>2.617961466830717</v>
      </c>
      <c r="K26" s="235">
        <f>xModel!AB54</f>
        <v>0</v>
      </c>
      <c r="L26" s="235">
        <f>xModel!AC54</f>
        <v>2.7970114852693762</v>
      </c>
      <c r="M26" s="235">
        <f>xModel!AD54</f>
        <v>0</v>
      </c>
      <c r="N26" s="235">
        <f>xModel!AE54</f>
        <v>2.7979114314732407</v>
      </c>
      <c r="O26" s="235">
        <f>xModel!AF54</f>
        <v>0</v>
      </c>
      <c r="P26" s="235">
        <f>xModel!AG54</f>
        <v>2.9885564095505566</v>
      </c>
    </row>
    <row r="27" spans="2:16">
      <c r="B27" s="181" t="s">
        <v>39</v>
      </c>
      <c r="H27" s="237">
        <f>xModel!Y55</f>
        <v>34744.375009505064</v>
      </c>
      <c r="I27" s="237">
        <f>xModel!Z55</f>
        <v>0</v>
      </c>
      <c r="J27" s="237">
        <f>xModel!AA55</f>
        <v>-6778.9419208164618</v>
      </c>
      <c r="K27" s="237">
        <f>xModel!AB55</f>
        <v>0</v>
      </c>
      <c r="L27" s="237">
        <f>xModel!AC55</f>
        <v>8592.9209005587472</v>
      </c>
      <c r="M27" s="237">
        <f>xModel!AD55</f>
        <v>0</v>
      </c>
      <c r="N27" s="237">
        <f>xModel!AE55</f>
        <v>8420.793261610379</v>
      </c>
      <c r="O27" s="237">
        <f>xModel!AF55</f>
        <v>0</v>
      </c>
      <c r="P27" s="237">
        <f>xModel!AG55</f>
        <v>17315.503006967032</v>
      </c>
    </row>
    <row r="28" spans="2:16">
      <c r="B28" s="181" t="s">
        <v>44</v>
      </c>
      <c r="H28" s="237">
        <f>xModel!Y56</f>
        <v>34744.375009505064</v>
      </c>
      <c r="I28" s="237">
        <f>xModel!Z56</f>
        <v>0</v>
      </c>
      <c r="J28" s="237">
        <f>xModel!AA56</f>
        <v>-6778.9419208164618</v>
      </c>
      <c r="K28" s="237">
        <f>xModel!AB56</f>
        <v>0</v>
      </c>
      <c r="L28" s="237">
        <f>xModel!AC56</f>
        <v>8592.9209005587472</v>
      </c>
      <c r="M28" s="237">
        <f>xModel!AD56</f>
        <v>0</v>
      </c>
      <c r="N28" s="237">
        <f>xModel!AE56</f>
        <v>8420.793261610379</v>
      </c>
      <c r="O28" s="237">
        <f>xModel!AF56</f>
        <v>0</v>
      </c>
      <c r="P28" s="237">
        <f>xModel!AG56</f>
        <v>17315.503006967032</v>
      </c>
    </row>
    <row r="29" spans="2:16">
      <c r="B29" s="181" t="s">
        <v>51</v>
      </c>
      <c r="H29" s="235">
        <f>xModel!Y57</f>
        <v>0.12395722645898077</v>
      </c>
      <c r="I29" s="235">
        <f>xModel!Z57</f>
        <v>0</v>
      </c>
      <c r="J29" s="235">
        <f>xModel!AA57</f>
        <v>0.26573659639849878</v>
      </c>
      <c r="K29" s="235">
        <f>xModel!AB57</f>
        <v>0</v>
      </c>
      <c r="L29" s="235">
        <f>xModel!AC57</f>
        <v>0.43412037350454863</v>
      </c>
      <c r="M29" s="235">
        <f>xModel!AD57</f>
        <v>0</v>
      </c>
      <c r="N29" s="235">
        <f>xModel!AE57</f>
        <v>2.3157435969276299E-2</v>
      </c>
      <c r="O29" s="235">
        <f>xModel!AF57</f>
        <v>0</v>
      </c>
      <c r="P29" s="235">
        <f>xModel!AG57</f>
        <v>0.35050194665172874</v>
      </c>
    </row>
    <row r="30" spans="2:16">
      <c r="B30" s="188" t="s">
        <v>315</v>
      </c>
      <c r="H30" s="235">
        <f>xModel!Y58</f>
        <v>0</v>
      </c>
      <c r="I30" s="235">
        <f>xModel!Z58</f>
        <v>0</v>
      </c>
      <c r="J30" s="235">
        <f>xModel!AA58</f>
        <v>0</v>
      </c>
      <c r="K30" s="235">
        <f>xModel!AB58</f>
        <v>0</v>
      </c>
      <c r="L30" s="235">
        <f>xModel!AC58</f>
        <v>0</v>
      </c>
      <c r="M30" s="235">
        <f>xModel!AD58</f>
        <v>0</v>
      </c>
      <c r="N30" s="235">
        <f>xModel!AE58</f>
        <v>0</v>
      </c>
      <c r="O30" s="235">
        <f>xModel!AF58</f>
        <v>0</v>
      </c>
      <c r="P30" s="235">
        <f>xModel!AG58</f>
        <v>0</v>
      </c>
    </row>
    <row r="31" spans="2:16">
      <c r="B31" s="188" t="s">
        <v>318</v>
      </c>
      <c r="H31" s="235">
        <f>xModel!Y59</f>
        <v>0</v>
      </c>
      <c r="I31" s="235">
        <f>xModel!Z59</f>
        <v>0</v>
      </c>
      <c r="J31" s="235">
        <f>xModel!AA59</f>
        <v>0</v>
      </c>
      <c r="K31" s="235">
        <f>xModel!AB59</f>
        <v>0</v>
      </c>
      <c r="L31" s="235">
        <f>xModel!AC59</f>
        <v>0</v>
      </c>
      <c r="M31" s="235">
        <f>xModel!AD59</f>
        <v>0</v>
      </c>
      <c r="N31" s="235">
        <f>xModel!AE59</f>
        <v>0</v>
      </c>
      <c r="O31" s="235">
        <f>xModel!AF59</f>
        <v>0</v>
      </c>
      <c r="P31" s="235">
        <f>xModel!AG59</f>
        <v>0</v>
      </c>
    </row>
    <row r="32" spans="2:16">
      <c r="B32" s="188" t="s">
        <v>320</v>
      </c>
      <c r="H32" s="235">
        <f>xModel!Y60</f>
        <v>0.23227179992734295</v>
      </c>
      <c r="I32" s="235">
        <f>xModel!Z60</f>
        <v>0</v>
      </c>
      <c r="J32" s="235">
        <f>xModel!AA60</f>
        <v>0.19397717107476298</v>
      </c>
      <c r="K32" s="235">
        <f>xModel!AB60</f>
        <v>0</v>
      </c>
      <c r="L32" s="235">
        <f>xModel!AC60</f>
        <v>9.4784195922150358E-3</v>
      </c>
      <c r="M32" s="235">
        <f>xModel!AD60</f>
        <v>0</v>
      </c>
      <c r="N32" s="235">
        <f>xModel!AE60</f>
        <v>-5.7495449690634654E-3</v>
      </c>
      <c r="O32" s="235">
        <f>xModel!AF60</f>
        <v>0</v>
      </c>
      <c r="P32" s="235">
        <f>xModel!AG60</f>
        <v>-1.3799594799471574E-2</v>
      </c>
    </row>
    <row r="33" spans="2:16">
      <c r="B33" s="188" t="s">
        <v>336</v>
      </c>
      <c r="H33" s="235">
        <f>xModel!Y61</f>
        <v>-0.23174967594514209</v>
      </c>
      <c r="I33" s="235">
        <f>xModel!Z61</f>
        <v>0</v>
      </c>
      <c r="J33" s="235">
        <f>xModel!AA61</f>
        <v>-0.1158982354876601</v>
      </c>
      <c r="K33" s="235">
        <f>xModel!AB61</f>
        <v>0</v>
      </c>
      <c r="L33" s="235">
        <f>xModel!AC61</f>
        <v>8.1734158606704948E-3</v>
      </c>
      <c r="M33" s="235">
        <f>xModel!AD61</f>
        <v>0</v>
      </c>
      <c r="N33" s="235">
        <f>xModel!AE61</f>
        <v>6.8913314854698975E-3</v>
      </c>
      <c r="O33" s="235">
        <f>xModel!AF61</f>
        <v>0</v>
      </c>
      <c r="P33" s="235">
        <f>xModel!AG61</f>
        <v>6.3877938409090456E-3</v>
      </c>
    </row>
    <row r="34" spans="2:16">
      <c r="B34" s="188" t="s">
        <v>377</v>
      </c>
      <c r="H34" s="235">
        <f>xModel!Y62</f>
        <v>0</v>
      </c>
      <c r="I34" s="235">
        <f>xModel!Z62</f>
        <v>0</v>
      </c>
      <c r="J34" s="235">
        <f>xModel!AA62</f>
        <v>0</v>
      </c>
      <c r="K34" s="235">
        <f>xModel!AB62</f>
        <v>0</v>
      </c>
      <c r="L34" s="235">
        <f>xModel!AC62</f>
        <v>0</v>
      </c>
      <c r="M34" s="235">
        <f>xModel!AD62</f>
        <v>0</v>
      </c>
      <c r="N34" s="235">
        <f>xModel!AE62</f>
        <v>0</v>
      </c>
      <c r="O34" s="235">
        <f>xModel!AF62</f>
        <v>0</v>
      </c>
      <c r="P34" s="235">
        <f>xModel!AG62</f>
        <v>0</v>
      </c>
    </row>
    <row r="36" spans="2:16" ht="5" customHeight="1"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</row>
    <row r="37" spans="2:16">
      <c r="H37" s="181" t="s">
        <v>265</v>
      </c>
      <c r="J37" s="181" t="s">
        <v>266</v>
      </c>
      <c r="L37" s="181" t="s">
        <v>267</v>
      </c>
      <c r="N37" s="181" t="s">
        <v>268</v>
      </c>
      <c r="P37" s="181" t="s">
        <v>269</v>
      </c>
    </row>
    <row r="38" spans="2:16" ht="15.5">
      <c r="G38" s="238" t="s">
        <v>252</v>
      </c>
      <c r="H38" s="317">
        <f>retention_5years</f>
        <v>250000</v>
      </c>
      <c r="I38" s="317"/>
      <c r="J38" s="317">
        <f>xx</f>
        <v>100000</v>
      </c>
      <c r="K38" s="317"/>
      <c r="L38" s="317">
        <f>'1-Start'!E16</f>
        <v>50000</v>
      </c>
      <c r="M38" s="317"/>
      <c r="N38" s="317">
        <f>'1-Start'!F16</f>
        <v>250000</v>
      </c>
      <c r="O38" s="317"/>
      <c r="P38" s="317">
        <f>'1-Start'!G16</f>
        <v>50000</v>
      </c>
    </row>
    <row r="39" spans="2:16">
      <c r="B39" s="240"/>
      <c r="H39" s="236">
        <v>0.76</v>
      </c>
      <c r="I39" s="181">
        <v>4</v>
      </c>
      <c r="J39" s="236">
        <v>0.87</v>
      </c>
      <c r="K39" s="181">
        <v>2</v>
      </c>
      <c r="L39" s="236">
        <v>0.94</v>
      </c>
      <c r="M39" s="181">
        <v>3</v>
      </c>
      <c r="N39" s="236">
        <v>0.88</v>
      </c>
      <c r="O39" s="181">
        <v>3</v>
      </c>
      <c r="P39" s="236">
        <v>0.79</v>
      </c>
    </row>
    <row r="40" spans="2:16">
      <c r="B40" s="240"/>
      <c r="H40" s="236"/>
      <c r="J40" s="236"/>
      <c r="L40" s="236"/>
      <c r="N40" s="236"/>
      <c r="P40" s="236"/>
    </row>
    <row r="41" spans="2:16">
      <c r="B41" s="240"/>
      <c r="H41" s="236"/>
      <c r="J41" s="236"/>
      <c r="L41" s="236"/>
      <c r="N41" s="236"/>
      <c r="P41" s="236"/>
    </row>
    <row r="42" spans="2:16">
      <c r="B42" s="240"/>
      <c r="H42" s="236"/>
      <c r="J42" s="236"/>
      <c r="L42" s="236"/>
      <c r="N42" s="236"/>
      <c r="P42" s="236"/>
    </row>
    <row r="43" spans="2:16">
      <c r="B43" s="240"/>
      <c r="H43" s="236"/>
      <c r="J43" s="236"/>
      <c r="L43" s="236"/>
      <c r="N43" s="236"/>
      <c r="P43" s="236"/>
    </row>
    <row r="44" spans="2:16">
      <c r="B44" s="240"/>
      <c r="H44" s="236"/>
      <c r="J44" s="236"/>
      <c r="L44" s="236"/>
      <c r="N44" s="236"/>
      <c r="P44" s="236"/>
    </row>
    <row r="45" spans="2:16">
      <c r="B45" s="240"/>
      <c r="H45" s="236"/>
      <c r="J45" s="236"/>
      <c r="L45" s="236"/>
      <c r="N45" s="236"/>
      <c r="P45" s="236"/>
    </row>
  </sheetData>
  <phoneticPr fontId="67" type="noConversion"/>
  <conditionalFormatting sqref="H39:H45 J39:J45 L39:L45 N39:N45 P39:P45">
    <cfRule type="colorScale" priority="1">
      <colorScale>
        <cfvo type="min"/>
        <cfvo type="max"/>
        <color theme="0"/>
        <color rgb="FF92D050"/>
      </colorScale>
    </cfRule>
  </conditionalFormatting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J47"/>
  <sheetViews>
    <sheetView workbookViewId="0">
      <selection activeCell="K11" sqref="K11"/>
    </sheetView>
  </sheetViews>
  <sheetFormatPr defaultColWidth="8" defaultRowHeight="10"/>
  <cols>
    <col min="1" max="1" width="1.81640625" style="250" customWidth="1"/>
    <col min="2" max="2" width="1.08984375" style="250" customWidth="1"/>
    <col min="3" max="3" width="29.36328125" style="250" customWidth="1"/>
    <col min="4" max="4" width="0.81640625" style="250" customWidth="1"/>
    <col min="5" max="5" width="29.36328125" style="250" customWidth="1"/>
    <col min="6" max="6" width="0.81640625" style="250" customWidth="1"/>
    <col min="7" max="7" width="29.36328125" style="250" customWidth="1"/>
    <col min="8" max="8" width="0.81640625" style="250" customWidth="1"/>
    <col min="9" max="9" width="29.36328125" style="250" customWidth="1"/>
    <col min="10" max="10" width="3.81640625" style="250" customWidth="1"/>
    <col min="11" max="248" width="8" style="250"/>
    <col min="249" max="249" width="3" style="250" customWidth="1"/>
    <col min="250" max="250" width="1.08984375" style="250" customWidth="1"/>
    <col min="251" max="251" width="29.36328125" style="250" customWidth="1"/>
    <col min="252" max="253" width="0.81640625" style="250" customWidth="1"/>
    <col min="254" max="254" width="29.36328125" style="250" customWidth="1"/>
    <col min="255" max="255" width="0.81640625" style="250" customWidth="1"/>
    <col min="256" max="256" width="29.36328125" style="250" customWidth="1"/>
    <col min="257" max="257" width="0.81640625" style="250" customWidth="1"/>
    <col min="258" max="258" width="29.36328125" style="250" customWidth="1"/>
    <col min="259" max="259" width="1" style="250" customWidth="1"/>
    <col min="260" max="260" width="8" style="250"/>
    <col min="261" max="261" width="20" style="250" customWidth="1"/>
    <col min="262" max="504" width="8" style="250"/>
    <col min="505" max="505" width="3" style="250" customWidth="1"/>
    <col min="506" max="506" width="1.08984375" style="250" customWidth="1"/>
    <col min="507" max="507" width="29.36328125" style="250" customWidth="1"/>
    <col min="508" max="509" width="0.81640625" style="250" customWidth="1"/>
    <col min="510" max="510" width="29.36328125" style="250" customWidth="1"/>
    <col min="511" max="511" width="0.81640625" style="250" customWidth="1"/>
    <col min="512" max="512" width="29.36328125" style="250" customWidth="1"/>
    <col min="513" max="513" width="0.81640625" style="250" customWidth="1"/>
    <col min="514" max="514" width="29.36328125" style="250" customWidth="1"/>
    <col min="515" max="515" width="1" style="250" customWidth="1"/>
    <col min="516" max="516" width="8" style="250"/>
    <col min="517" max="517" width="20" style="250" customWidth="1"/>
    <col min="518" max="760" width="8" style="250"/>
    <col min="761" max="761" width="3" style="250" customWidth="1"/>
    <col min="762" max="762" width="1.08984375" style="250" customWidth="1"/>
    <col min="763" max="763" width="29.36328125" style="250" customWidth="1"/>
    <col min="764" max="765" width="0.81640625" style="250" customWidth="1"/>
    <col min="766" max="766" width="29.36328125" style="250" customWidth="1"/>
    <col min="767" max="767" width="0.81640625" style="250" customWidth="1"/>
    <col min="768" max="768" width="29.36328125" style="250" customWidth="1"/>
    <col min="769" max="769" width="0.81640625" style="250" customWidth="1"/>
    <col min="770" max="770" width="29.36328125" style="250" customWidth="1"/>
    <col min="771" max="771" width="1" style="250" customWidth="1"/>
    <col min="772" max="772" width="8" style="250"/>
    <col min="773" max="773" width="20" style="250" customWidth="1"/>
    <col min="774" max="1016" width="8" style="250"/>
    <col min="1017" max="1017" width="3" style="250" customWidth="1"/>
    <col min="1018" max="1018" width="1.08984375" style="250" customWidth="1"/>
    <col min="1019" max="1019" width="29.36328125" style="250" customWidth="1"/>
    <col min="1020" max="1021" width="0.81640625" style="250" customWidth="1"/>
    <col min="1022" max="1022" width="29.36328125" style="250" customWidth="1"/>
    <col min="1023" max="1023" width="0.81640625" style="250" customWidth="1"/>
    <col min="1024" max="1024" width="29.36328125" style="250" customWidth="1"/>
    <col min="1025" max="1025" width="0.81640625" style="250" customWidth="1"/>
    <col min="1026" max="1026" width="29.36328125" style="250" customWidth="1"/>
    <col min="1027" max="1027" width="1" style="250" customWidth="1"/>
    <col min="1028" max="1028" width="8" style="250"/>
    <col min="1029" max="1029" width="20" style="250" customWidth="1"/>
    <col min="1030" max="1272" width="8" style="250"/>
    <col min="1273" max="1273" width="3" style="250" customWidth="1"/>
    <col min="1274" max="1274" width="1.08984375" style="250" customWidth="1"/>
    <col min="1275" max="1275" width="29.36328125" style="250" customWidth="1"/>
    <col min="1276" max="1277" width="0.81640625" style="250" customWidth="1"/>
    <col min="1278" max="1278" width="29.36328125" style="250" customWidth="1"/>
    <col min="1279" max="1279" width="0.81640625" style="250" customWidth="1"/>
    <col min="1280" max="1280" width="29.36328125" style="250" customWidth="1"/>
    <col min="1281" max="1281" width="0.81640625" style="250" customWidth="1"/>
    <col min="1282" max="1282" width="29.36328125" style="250" customWidth="1"/>
    <col min="1283" max="1283" width="1" style="250" customWidth="1"/>
    <col min="1284" max="1284" width="8" style="250"/>
    <col min="1285" max="1285" width="20" style="250" customWidth="1"/>
    <col min="1286" max="1528" width="8" style="250"/>
    <col min="1529" max="1529" width="3" style="250" customWidth="1"/>
    <col min="1530" max="1530" width="1.08984375" style="250" customWidth="1"/>
    <col min="1531" max="1531" width="29.36328125" style="250" customWidth="1"/>
    <col min="1532" max="1533" width="0.81640625" style="250" customWidth="1"/>
    <col min="1534" max="1534" width="29.36328125" style="250" customWidth="1"/>
    <col min="1535" max="1535" width="0.81640625" style="250" customWidth="1"/>
    <col min="1536" max="1536" width="29.36328125" style="250" customWidth="1"/>
    <col min="1537" max="1537" width="0.81640625" style="250" customWidth="1"/>
    <col min="1538" max="1538" width="29.36328125" style="250" customWidth="1"/>
    <col min="1539" max="1539" width="1" style="250" customWidth="1"/>
    <col min="1540" max="1540" width="8" style="250"/>
    <col min="1541" max="1541" width="20" style="250" customWidth="1"/>
    <col min="1542" max="1784" width="8" style="250"/>
    <col min="1785" max="1785" width="3" style="250" customWidth="1"/>
    <col min="1786" max="1786" width="1.08984375" style="250" customWidth="1"/>
    <col min="1787" max="1787" width="29.36328125" style="250" customWidth="1"/>
    <col min="1788" max="1789" width="0.81640625" style="250" customWidth="1"/>
    <col min="1790" max="1790" width="29.36328125" style="250" customWidth="1"/>
    <col min="1791" max="1791" width="0.81640625" style="250" customWidth="1"/>
    <col min="1792" max="1792" width="29.36328125" style="250" customWidth="1"/>
    <col min="1793" max="1793" width="0.81640625" style="250" customWidth="1"/>
    <col min="1794" max="1794" width="29.36328125" style="250" customWidth="1"/>
    <col min="1795" max="1795" width="1" style="250" customWidth="1"/>
    <col min="1796" max="1796" width="8" style="250"/>
    <col min="1797" max="1797" width="20" style="250" customWidth="1"/>
    <col min="1798" max="2040" width="8" style="250"/>
    <col min="2041" max="2041" width="3" style="250" customWidth="1"/>
    <col min="2042" max="2042" width="1.08984375" style="250" customWidth="1"/>
    <col min="2043" max="2043" width="29.36328125" style="250" customWidth="1"/>
    <col min="2044" max="2045" width="0.81640625" style="250" customWidth="1"/>
    <col min="2046" max="2046" width="29.36328125" style="250" customWidth="1"/>
    <col min="2047" max="2047" width="0.81640625" style="250" customWidth="1"/>
    <col min="2048" max="2048" width="29.36328125" style="250" customWidth="1"/>
    <col min="2049" max="2049" width="0.81640625" style="250" customWidth="1"/>
    <col min="2050" max="2050" width="29.36328125" style="250" customWidth="1"/>
    <col min="2051" max="2051" width="1" style="250" customWidth="1"/>
    <col min="2052" max="2052" width="8" style="250"/>
    <col min="2053" max="2053" width="20" style="250" customWidth="1"/>
    <col min="2054" max="2296" width="8" style="250"/>
    <col min="2297" max="2297" width="3" style="250" customWidth="1"/>
    <col min="2298" max="2298" width="1.08984375" style="250" customWidth="1"/>
    <col min="2299" max="2299" width="29.36328125" style="250" customWidth="1"/>
    <col min="2300" max="2301" width="0.81640625" style="250" customWidth="1"/>
    <col min="2302" max="2302" width="29.36328125" style="250" customWidth="1"/>
    <col min="2303" max="2303" width="0.81640625" style="250" customWidth="1"/>
    <col min="2304" max="2304" width="29.36328125" style="250" customWidth="1"/>
    <col min="2305" max="2305" width="0.81640625" style="250" customWidth="1"/>
    <col min="2306" max="2306" width="29.36328125" style="250" customWidth="1"/>
    <col min="2307" max="2307" width="1" style="250" customWidth="1"/>
    <col min="2308" max="2308" width="8" style="250"/>
    <col min="2309" max="2309" width="20" style="250" customWidth="1"/>
    <col min="2310" max="2552" width="8" style="250"/>
    <col min="2553" max="2553" width="3" style="250" customWidth="1"/>
    <col min="2554" max="2554" width="1.08984375" style="250" customWidth="1"/>
    <col min="2555" max="2555" width="29.36328125" style="250" customWidth="1"/>
    <col min="2556" max="2557" width="0.81640625" style="250" customWidth="1"/>
    <col min="2558" max="2558" width="29.36328125" style="250" customWidth="1"/>
    <col min="2559" max="2559" width="0.81640625" style="250" customWidth="1"/>
    <col min="2560" max="2560" width="29.36328125" style="250" customWidth="1"/>
    <col min="2561" max="2561" width="0.81640625" style="250" customWidth="1"/>
    <col min="2562" max="2562" width="29.36328125" style="250" customWidth="1"/>
    <col min="2563" max="2563" width="1" style="250" customWidth="1"/>
    <col min="2564" max="2564" width="8" style="250"/>
    <col min="2565" max="2565" width="20" style="250" customWidth="1"/>
    <col min="2566" max="2808" width="8" style="250"/>
    <col min="2809" max="2809" width="3" style="250" customWidth="1"/>
    <col min="2810" max="2810" width="1.08984375" style="250" customWidth="1"/>
    <col min="2811" max="2811" width="29.36328125" style="250" customWidth="1"/>
    <col min="2812" max="2813" width="0.81640625" style="250" customWidth="1"/>
    <col min="2814" max="2814" width="29.36328125" style="250" customWidth="1"/>
    <col min="2815" max="2815" width="0.81640625" style="250" customWidth="1"/>
    <col min="2816" max="2816" width="29.36328125" style="250" customWidth="1"/>
    <col min="2817" max="2817" width="0.81640625" style="250" customWidth="1"/>
    <col min="2818" max="2818" width="29.36328125" style="250" customWidth="1"/>
    <col min="2819" max="2819" width="1" style="250" customWidth="1"/>
    <col min="2820" max="2820" width="8" style="250"/>
    <col min="2821" max="2821" width="20" style="250" customWidth="1"/>
    <col min="2822" max="3064" width="8" style="250"/>
    <col min="3065" max="3065" width="3" style="250" customWidth="1"/>
    <col min="3066" max="3066" width="1.08984375" style="250" customWidth="1"/>
    <col min="3067" max="3067" width="29.36328125" style="250" customWidth="1"/>
    <col min="3068" max="3069" width="0.81640625" style="250" customWidth="1"/>
    <col min="3070" max="3070" width="29.36328125" style="250" customWidth="1"/>
    <col min="3071" max="3071" width="0.81640625" style="250" customWidth="1"/>
    <col min="3072" max="3072" width="29.36328125" style="250" customWidth="1"/>
    <col min="3073" max="3073" width="0.81640625" style="250" customWidth="1"/>
    <col min="3074" max="3074" width="29.36328125" style="250" customWidth="1"/>
    <col min="3075" max="3075" width="1" style="250" customWidth="1"/>
    <col min="3076" max="3076" width="8" style="250"/>
    <col min="3077" max="3077" width="20" style="250" customWidth="1"/>
    <col min="3078" max="3320" width="8" style="250"/>
    <col min="3321" max="3321" width="3" style="250" customWidth="1"/>
    <col min="3322" max="3322" width="1.08984375" style="250" customWidth="1"/>
    <col min="3323" max="3323" width="29.36328125" style="250" customWidth="1"/>
    <col min="3324" max="3325" width="0.81640625" style="250" customWidth="1"/>
    <col min="3326" max="3326" width="29.36328125" style="250" customWidth="1"/>
    <col min="3327" max="3327" width="0.81640625" style="250" customWidth="1"/>
    <col min="3328" max="3328" width="29.36328125" style="250" customWidth="1"/>
    <col min="3329" max="3329" width="0.81640625" style="250" customWidth="1"/>
    <col min="3330" max="3330" width="29.36328125" style="250" customWidth="1"/>
    <col min="3331" max="3331" width="1" style="250" customWidth="1"/>
    <col min="3332" max="3332" width="8" style="250"/>
    <col min="3333" max="3333" width="20" style="250" customWidth="1"/>
    <col min="3334" max="3576" width="8" style="250"/>
    <col min="3577" max="3577" width="3" style="250" customWidth="1"/>
    <col min="3578" max="3578" width="1.08984375" style="250" customWidth="1"/>
    <col min="3579" max="3579" width="29.36328125" style="250" customWidth="1"/>
    <col min="3580" max="3581" width="0.81640625" style="250" customWidth="1"/>
    <col min="3582" max="3582" width="29.36328125" style="250" customWidth="1"/>
    <col min="3583" max="3583" width="0.81640625" style="250" customWidth="1"/>
    <col min="3584" max="3584" width="29.36328125" style="250" customWidth="1"/>
    <col min="3585" max="3585" width="0.81640625" style="250" customWidth="1"/>
    <col min="3586" max="3586" width="29.36328125" style="250" customWidth="1"/>
    <col min="3587" max="3587" width="1" style="250" customWidth="1"/>
    <col min="3588" max="3588" width="8" style="250"/>
    <col min="3589" max="3589" width="20" style="250" customWidth="1"/>
    <col min="3590" max="3832" width="8" style="250"/>
    <col min="3833" max="3833" width="3" style="250" customWidth="1"/>
    <col min="3834" max="3834" width="1.08984375" style="250" customWidth="1"/>
    <col min="3835" max="3835" width="29.36328125" style="250" customWidth="1"/>
    <col min="3836" max="3837" width="0.81640625" style="250" customWidth="1"/>
    <col min="3838" max="3838" width="29.36328125" style="250" customWidth="1"/>
    <col min="3839" max="3839" width="0.81640625" style="250" customWidth="1"/>
    <col min="3840" max="3840" width="29.36328125" style="250" customWidth="1"/>
    <col min="3841" max="3841" width="0.81640625" style="250" customWidth="1"/>
    <col min="3842" max="3842" width="29.36328125" style="250" customWidth="1"/>
    <col min="3843" max="3843" width="1" style="250" customWidth="1"/>
    <col min="3844" max="3844" width="8" style="250"/>
    <col min="3845" max="3845" width="20" style="250" customWidth="1"/>
    <col min="3846" max="4088" width="8" style="250"/>
    <col min="4089" max="4089" width="3" style="250" customWidth="1"/>
    <col min="4090" max="4090" width="1.08984375" style="250" customWidth="1"/>
    <col min="4091" max="4091" width="29.36328125" style="250" customWidth="1"/>
    <col min="4092" max="4093" width="0.81640625" style="250" customWidth="1"/>
    <col min="4094" max="4094" width="29.36328125" style="250" customWidth="1"/>
    <col min="4095" max="4095" width="0.81640625" style="250" customWidth="1"/>
    <col min="4096" max="4096" width="29.36328125" style="250" customWidth="1"/>
    <col min="4097" max="4097" width="0.81640625" style="250" customWidth="1"/>
    <col min="4098" max="4098" width="29.36328125" style="250" customWidth="1"/>
    <col min="4099" max="4099" width="1" style="250" customWidth="1"/>
    <col min="4100" max="4100" width="8" style="250"/>
    <col min="4101" max="4101" width="20" style="250" customWidth="1"/>
    <col min="4102" max="4344" width="8" style="250"/>
    <col min="4345" max="4345" width="3" style="250" customWidth="1"/>
    <col min="4346" max="4346" width="1.08984375" style="250" customWidth="1"/>
    <col min="4347" max="4347" width="29.36328125" style="250" customWidth="1"/>
    <col min="4348" max="4349" width="0.81640625" style="250" customWidth="1"/>
    <col min="4350" max="4350" width="29.36328125" style="250" customWidth="1"/>
    <col min="4351" max="4351" width="0.81640625" style="250" customWidth="1"/>
    <col min="4352" max="4352" width="29.36328125" style="250" customWidth="1"/>
    <col min="4353" max="4353" width="0.81640625" style="250" customWidth="1"/>
    <col min="4354" max="4354" width="29.36328125" style="250" customWidth="1"/>
    <col min="4355" max="4355" width="1" style="250" customWidth="1"/>
    <col min="4356" max="4356" width="8" style="250"/>
    <col min="4357" max="4357" width="20" style="250" customWidth="1"/>
    <col min="4358" max="4600" width="8" style="250"/>
    <col min="4601" max="4601" width="3" style="250" customWidth="1"/>
    <col min="4602" max="4602" width="1.08984375" style="250" customWidth="1"/>
    <col min="4603" max="4603" width="29.36328125" style="250" customWidth="1"/>
    <col min="4604" max="4605" width="0.81640625" style="250" customWidth="1"/>
    <col min="4606" max="4606" width="29.36328125" style="250" customWidth="1"/>
    <col min="4607" max="4607" width="0.81640625" style="250" customWidth="1"/>
    <col min="4608" max="4608" width="29.36328125" style="250" customWidth="1"/>
    <col min="4609" max="4609" width="0.81640625" style="250" customWidth="1"/>
    <col min="4610" max="4610" width="29.36328125" style="250" customWidth="1"/>
    <col min="4611" max="4611" width="1" style="250" customWidth="1"/>
    <col min="4612" max="4612" width="8" style="250"/>
    <col min="4613" max="4613" width="20" style="250" customWidth="1"/>
    <col min="4614" max="4856" width="8" style="250"/>
    <col min="4857" max="4857" width="3" style="250" customWidth="1"/>
    <col min="4858" max="4858" width="1.08984375" style="250" customWidth="1"/>
    <col min="4859" max="4859" width="29.36328125" style="250" customWidth="1"/>
    <col min="4860" max="4861" width="0.81640625" style="250" customWidth="1"/>
    <col min="4862" max="4862" width="29.36328125" style="250" customWidth="1"/>
    <col min="4863" max="4863" width="0.81640625" style="250" customWidth="1"/>
    <col min="4864" max="4864" width="29.36328125" style="250" customWidth="1"/>
    <col min="4865" max="4865" width="0.81640625" style="250" customWidth="1"/>
    <col min="4866" max="4866" width="29.36328125" style="250" customWidth="1"/>
    <col min="4867" max="4867" width="1" style="250" customWidth="1"/>
    <col min="4868" max="4868" width="8" style="250"/>
    <col min="4869" max="4869" width="20" style="250" customWidth="1"/>
    <col min="4870" max="5112" width="8" style="250"/>
    <col min="5113" max="5113" width="3" style="250" customWidth="1"/>
    <col min="5114" max="5114" width="1.08984375" style="250" customWidth="1"/>
    <col min="5115" max="5115" width="29.36328125" style="250" customWidth="1"/>
    <col min="5116" max="5117" width="0.81640625" style="250" customWidth="1"/>
    <col min="5118" max="5118" width="29.36328125" style="250" customWidth="1"/>
    <col min="5119" max="5119" width="0.81640625" style="250" customWidth="1"/>
    <col min="5120" max="5120" width="29.36328125" style="250" customWidth="1"/>
    <col min="5121" max="5121" width="0.81640625" style="250" customWidth="1"/>
    <col min="5122" max="5122" width="29.36328125" style="250" customWidth="1"/>
    <col min="5123" max="5123" width="1" style="250" customWidth="1"/>
    <col min="5124" max="5124" width="8" style="250"/>
    <col min="5125" max="5125" width="20" style="250" customWidth="1"/>
    <col min="5126" max="5368" width="8" style="250"/>
    <col min="5369" max="5369" width="3" style="250" customWidth="1"/>
    <col min="5370" max="5370" width="1.08984375" style="250" customWidth="1"/>
    <col min="5371" max="5371" width="29.36328125" style="250" customWidth="1"/>
    <col min="5372" max="5373" width="0.81640625" style="250" customWidth="1"/>
    <col min="5374" max="5374" width="29.36328125" style="250" customWidth="1"/>
    <col min="5375" max="5375" width="0.81640625" style="250" customWidth="1"/>
    <col min="5376" max="5376" width="29.36328125" style="250" customWidth="1"/>
    <col min="5377" max="5377" width="0.81640625" style="250" customWidth="1"/>
    <col min="5378" max="5378" width="29.36328125" style="250" customWidth="1"/>
    <col min="5379" max="5379" width="1" style="250" customWidth="1"/>
    <col min="5380" max="5380" width="8" style="250"/>
    <col min="5381" max="5381" width="20" style="250" customWidth="1"/>
    <col min="5382" max="5624" width="8" style="250"/>
    <col min="5625" max="5625" width="3" style="250" customWidth="1"/>
    <col min="5626" max="5626" width="1.08984375" style="250" customWidth="1"/>
    <col min="5627" max="5627" width="29.36328125" style="250" customWidth="1"/>
    <col min="5628" max="5629" width="0.81640625" style="250" customWidth="1"/>
    <col min="5630" max="5630" width="29.36328125" style="250" customWidth="1"/>
    <col min="5631" max="5631" width="0.81640625" style="250" customWidth="1"/>
    <col min="5632" max="5632" width="29.36328125" style="250" customWidth="1"/>
    <col min="5633" max="5633" width="0.81640625" style="250" customWidth="1"/>
    <col min="5634" max="5634" width="29.36328125" style="250" customWidth="1"/>
    <col min="5635" max="5635" width="1" style="250" customWidth="1"/>
    <col min="5636" max="5636" width="8" style="250"/>
    <col min="5637" max="5637" width="20" style="250" customWidth="1"/>
    <col min="5638" max="5880" width="8" style="250"/>
    <col min="5881" max="5881" width="3" style="250" customWidth="1"/>
    <col min="5882" max="5882" width="1.08984375" style="250" customWidth="1"/>
    <col min="5883" max="5883" width="29.36328125" style="250" customWidth="1"/>
    <col min="5884" max="5885" width="0.81640625" style="250" customWidth="1"/>
    <col min="5886" max="5886" width="29.36328125" style="250" customWidth="1"/>
    <col min="5887" max="5887" width="0.81640625" style="250" customWidth="1"/>
    <col min="5888" max="5888" width="29.36328125" style="250" customWidth="1"/>
    <col min="5889" max="5889" width="0.81640625" style="250" customWidth="1"/>
    <col min="5890" max="5890" width="29.36328125" style="250" customWidth="1"/>
    <col min="5891" max="5891" width="1" style="250" customWidth="1"/>
    <col min="5892" max="5892" width="8" style="250"/>
    <col min="5893" max="5893" width="20" style="250" customWidth="1"/>
    <col min="5894" max="6136" width="8" style="250"/>
    <col min="6137" max="6137" width="3" style="250" customWidth="1"/>
    <col min="6138" max="6138" width="1.08984375" style="250" customWidth="1"/>
    <col min="6139" max="6139" width="29.36328125" style="250" customWidth="1"/>
    <col min="6140" max="6141" width="0.81640625" style="250" customWidth="1"/>
    <col min="6142" max="6142" width="29.36328125" style="250" customWidth="1"/>
    <col min="6143" max="6143" width="0.81640625" style="250" customWidth="1"/>
    <col min="6144" max="6144" width="29.36328125" style="250" customWidth="1"/>
    <col min="6145" max="6145" width="0.81640625" style="250" customWidth="1"/>
    <col min="6146" max="6146" width="29.36328125" style="250" customWidth="1"/>
    <col min="6147" max="6147" width="1" style="250" customWidth="1"/>
    <col min="6148" max="6148" width="8" style="250"/>
    <col min="6149" max="6149" width="20" style="250" customWidth="1"/>
    <col min="6150" max="6392" width="8" style="250"/>
    <col min="6393" max="6393" width="3" style="250" customWidth="1"/>
    <col min="6394" max="6394" width="1.08984375" style="250" customWidth="1"/>
    <col min="6395" max="6395" width="29.36328125" style="250" customWidth="1"/>
    <col min="6396" max="6397" width="0.81640625" style="250" customWidth="1"/>
    <col min="6398" max="6398" width="29.36328125" style="250" customWidth="1"/>
    <col min="6399" max="6399" width="0.81640625" style="250" customWidth="1"/>
    <col min="6400" max="6400" width="29.36328125" style="250" customWidth="1"/>
    <col min="6401" max="6401" width="0.81640625" style="250" customWidth="1"/>
    <col min="6402" max="6402" width="29.36328125" style="250" customWidth="1"/>
    <col min="6403" max="6403" width="1" style="250" customWidth="1"/>
    <col min="6404" max="6404" width="8" style="250"/>
    <col min="6405" max="6405" width="20" style="250" customWidth="1"/>
    <col min="6406" max="6648" width="8" style="250"/>
    <col min="6649" max="6649" width="3" style="250" customWidth="1"/>
    <col min="6650" max="6650" width="1.08984375" style="250" customWidth="1"/>
    <col min="6651" max="6651" width="29.36328125" style="250" customWidth="1"/>
    <col min="6652" max="6653" width="0.81640625" style="250" customWidth="1"/>
    <col min="6654" max="6654" width="29.36328125" style="250" customWidth="1"/>
    <col min="6655" max="6655" width="0.81640625" style="250" customWidth="1"/>
    <col min="6656" max="6656" width="29.36328125" style="250" customWidth="1"/>
    <col min="6657" max="6657" width="0.81640625" style="250" customWidth="1"/>
    <col min="6658" max="6658" width="29.36328125" style="250" customWidth="1"/>
    <col min="6659" max="6659" width="1" style="250" customWidth="1"/>
    <col min="6660" max="6660" width="8" style="250"/>
    <col min="6661" max="6661" width="20" style="250" customWidth="1"/>
    <col min="6662" max="6904" width="8" style="250"/>
    <col min="6905" max="6905" width="3" style="250" customWidth="1"/>
    <col min="6906" max="6906" width="1.08984375" style="250" customWidth="1"/>
    <col min="6907" max="6907" width="29.36328125" style="250" customWidth="1"/>
    <col min="6908" max="6909" width="0.81640625" style="250" customWidth="1"/>
    <col min="6910" max="6910" width="29.36328125" style="250" customWidth="1"/>
    <col min="6911" max="6911" width="0.81640625" style="250" customWidth="1"/>
    <col min="6912" max="6912" width="29.36328125" style="250" customWidth="1"/>
    <col min="6913" max="6913" width="0.81640625" style="250" customWidth="1"/>
    <col min="6914" max="6914" width="29.36328125" style="250" customWidth="1"/>
    <col min="6915" max="6915" width="1" style="250" customWidth="1"/>
    <col min="6916" max="6916" width="8" style="250"/>
    <col min="6917" max="6917" width="20" style="250" customWidth="1"/>
    <col min="6918" max="7160" width="8" style="250"/>
    <col min="7161" max="7161" width="3" style="250" customWidth="1"/>
    <col min="7162" max="7162" width="1.08984375" style="250" customWidth="1"/>
    <col min="7163" max="7163" width="29.36328125" style="250" customWidth="1"/>
    <col min="7164" max="7165" width="0.81640625" style="250" customWidth="1"/>
    <col min="7166" max="7166" width="29.36328125" style="250" customWidth="1"/>
    <col min="7167" max="7167" width="0.81640625" style="250" customWidth="1"/>
    <col min="7168" max="7168" width="29.36328125" style="250" customWidth="1"/>
    <col min="7169" max="7169" width="0.81640625" style="250" customWidth="1"/>
    <col min="7170" max="7170" width="29.36328125" style="250" customWidth="1"/>
    <col min="7171" max="7171" width="1" style="250" customWidth="1"/>
    <col min="7172" max="7172" width="8" style="250"/>
    <col min="7173" max="7173" width="20" style="250" customWidth="1"/>
    <col min="7174" max="7416" width="8" style="250"/>
    <col min="7417" max="7417" width="3" style="250" customWidth="1"/>
    <col min="7418" max="7418" width="1.08984375" style="250" customWidth="1"/>
    <col min="7419" max="7419" width="29.36328125" style="250" customWidth="1"/>
    <col min="7420" max="7421" width="0.81640625" style="250" customWidth="1"/>
    <col min="7422" max="7422" width="29.36328125" style="250" customWidth="1"/>
    <col min="7423" max="7423" width="0.81640625" style="250" customWidth="1"/>
    <col min="7424" max="7424" width="29.36328125" style="250" customWidth="1"/>
    <col min="7425" max="7425" width="0.81640625" style="250" customWidth="1"/>
    <col min="7426" max="7426" width="29.36328125" style="250" customWidth="1"/>
    <col min="7427" max="7427" width="1" style="250" customWidth="1"/>
    <col min="7428" max="7428" width="8" style="250"/>
    <col min="7429" max="7429" width="20" style="250" customWidth="1"/>
    <col min="7430" max="7672" width="8" style="250"/>
    <col min="7673" max="7673" width="3" style="250" customWidth="1"/>
    <col min="7674" max="7674" width="1.08984375" style="250" customWidth="1"/>
    <col min="7675" max="7675" width="29.36328125" style="250" customWidth="1"/>
    <col min="7676" max="7677" width="0.81640625" style="250" customWidth="1"/>
    <col min="7678" max="7678" width="29.36328125" style="250" customWidth="1"/>
    <col min="7679" max="7679" width="0.81640625" style="250" customWidth="1"/>
    <col min="7680" max="7680" width="29.36328125" style="250" customWidth="1"/>
    <col min="7681" max="7681" width="0.81640625" style="250" customWidth="1"/>
    <col min="7682" max="7682" width="29.36328125" style="250" customWidth="1"/>
    <col min="7683" max="7683" width="1" style="250" customWidth="1"/>
    <col min="7684" max="7684" width="8" style="250"/>
    <col min="7685" max="7685" width="20" style="250" customWidth="1"/>
    <col min="7686" max="7928" width="8" style="250"/>
    <col min="7929" max="7929" width="3" style="250" customWidth="1"/>
    <col min="7930" max="7930" width="1.08984375" style="250" customWidth="1"/>
    <col min="7931" max="7931" width="29.36328125" style="250" customWidth="1"/>
    <col min="7932" max="7933" width="0.81640625" style="250" customWidth="1"/>
    <col min="7934" max="7934" width="29.36328125" style="250" customWidth="1"/>
    <col min="7935" max="7935" width="0.81640625" style="250" customWidth="1"/>
    <col min="7936" max="7936" width="29.36328125" style="250" customWidth="1"/>
    <col min="7937" max="7937" width="0.81640625" style="250" customWidth="1"/>
    <col min="7938" max="7938" width="29.36328125" style="250" customWidth="1"/>
    <col min="7939" max="7939" width="1" style="250" customWidth="1"/>
    <col min="7940" max="7940" width="8" style="250"/>
    <col min="7941" max="7941" width="20" style="250" customWidth="1"/>
    <col min="7942" max="8184" width="8" style="250"/>
    <col min="8185" max="8185" width="3" style="250" customWidth="1"/>
    <col min="8186" max="8186" width="1.08984375" style="250" customWidth="1"/>
    <col min="8187" max="8187" width="29.36328125" style="250" customWidth="1"/>
    <col min="8188" max="8189" width="0.81640625" style="250" customWidth="1"/>
    <col min="8190" max="8190" width="29.36328125" style="250" customWidth="1"/>
    <col min="8191" max="8191" width="0.81640625" style="250" customWidth="1"/>
    <col min="8192" max="8192" width="29.36328125" style="250" customWidth="1"/>
    <col min="8193" max="8193" width="0.81640625" style="250" customWidth="1"/>
    <col min="8194" max="8194" width="29.36328125" style="250" customWidth="1"/>
    <col min="8195" max="8195" width="1" style="250" customWidth="1"/>
    <col min="8196" max="8196" width="8" style="250"/>
    <col min="8197" max="8197" width="20" style="250" customWidth="1"/>
    <col min="8198" max="8440" width="8" style="250"/>
    <col min="8441" max="8441" width="3" style="250" customWidth="1"/>
    <col min="8442" max="8442" width="1.08984375" style="250" customWidth="1"/>
    <col min="8443" max="8443" width="29.36328125" style="250" customWidth="1"/>
    <col min="8444" max="8445" width="0.81640625" style="250" customWidth="1"/>
    <col min="8446" max="8446" width="29.36328125" style="250" customWidth="1"/>
    <col min="8447" max="8447" width="0.81640625" style="250" customWidth="1"/>
    <col min="8448" max="8448" width="29.36328125" style="250" customWidth="1"/>
    <col min="8449" max="8449" width="0.81640625" style="250" customWidth="1"/>
    <col min="8450" max="8450" width="29.36328125" style="250" customWidth="1"/>
    <col min="8451" max="8451" width="1" style="250" customWidth="1"/>
    <col min="8452" max="8452" width="8" style="250"/>
    <col min="8453" max="8453" width="20" style="250" customWidth="1"/>
    <col min="8454" max="8696" width="8" style="250"/>
    <col min="8697" max="8697" width="3" style="250" customWidth="1"/>
    <col min="8698" max="8698" width="1.08984375" style="250" customWidth="1"/>
    <col min="8699" max="8699" width="29.36328125" style="250" customWidth="1"/>
    <col min="8700" max="8701" width="0.81640625" style="250" customWidth="1"/>
    <col min="8702" max="8702" width="29.36328125" style="250" customWidth="1"/>
    <col min="8703" max="8703" width="0.81640625" style="250" customWidth="1"/>
    <col min="8704" max="8704" width="29.36328125" style="250" customWidth="1"/>
    <col min="8705" max="8705" width="0.81640625" style="250" customWidth="1"/>
    <col min="8706" max="8706" width="29.36328125" style="250" customWidth="1"/>
    <col min="8707" max="8707" width="1" style="250" customWidth="1"/>
    <col min="8708" max="8708" width="8" style="250"/>
    <col min="8709" max="8709" width="20" style="250" customWidth="1"/>
    <col min="8710" max="8952" width="8" style="250"/>
    <col min="8953" max="8953" width="3" style="250" customWidth="1"/>
    <col min="8954" max="8954" width="1.08984375" style="250" customWidth="1"/>
    <col min="8955" max="8955" width="29.36328125" style="250" customWidth="1"/>
    <col min="8956" max="8957" width="0.81640625" style="250" customWidth="1"/>
    <col min="8958" max="8958" width="29.36328125" style="250" customWidth="1"/>
    <col min="8959" max="8959" width="0.81640625" style="250" customWidth="1"/>
    <col min="8960" max="8960" width="29.36328125" style="250" customWidth="1"/>
    <col min="8961" max="8961" width="0.81640625" style="250" customWidth="1"/>
    <col min="8962" max="8962" width="29.36328125" style="250" customWidth="1"/>
    <col min="8963" max="8963" width="1" style="250" customWidth="1"/>
    <col min="8964" max="8964" width="8" style="250"/>
    <col min="8965" max="8965" width="20" style="250" customWidth="1"/>
    <col min="8966" max="9208" width="8" style="250"/>
    <col min="9209" max="9209" width="3" style="250" customWidth="1"/>
    <col min="9210" max="9210" width="1.08984375" style="250" customWidth="1"/>
    <col min="9211" max="9211" width="29.36328125" style="250" customWidth="1"/>
    <col min="9212" max="9213" width="0.81640625" style="250" customWidth="1"/>
    <col min="9214" max="9214" width="29.36328125" style="250" customWidth="1"/>
    <col min="9215" max="9215" width="0.81640625" style="250" customWidth="1"/>
    <col min="9216" max="9216" width="29.36328125" style="250" customWidth="1"/>
    <col min="9217" max="9217" width="0.81640625" style="250" customWidth="1"/>
    <col min="9218" max="9218" width="29.36328125" style="250" customWidth="1"/>
    <col min="9219" max="9219" width="1" style="250" customWidth="1"/>
    <col min="9220" max="9220" width="8" style="250"/>
    <col min="9221" max="9221" width="20" style="250" customWidth="1"/>
    <col min="9222" max="9464" width="8" style="250"/>
    <col min="9465" max="9465" width="3" style="250" customWidth="1"/>
    <col min="9466" max="9466" width="1.08984375" style="250" customWidth="1"/>
    <col min="9467" max="9467" width="29.36328125" style="250" customWidth="1"/>
    <col min="9468" max="9469" width="0.81640625" style="250" customWidth="1"/>
    <col min="9470" max="9470" width="29.36328125" style="250" customWidth="1"/>
    <col min="9471" max="9471" width="0.81640625" style="250" customWidth="1"/>
    <col min="9472" max="9472" width="29.36328125" style="250" customWidth="1"/>
    <col min="9473" max="9473" width="0.81640625" style="250" customWidth="1"/>
    <col min="9474" max="9474" width="29.36328125" style="250" customWidth="1"/>
    <col min="9475" max="9475" width="1" style="250" customWidth="1"/>
    <col min="9476" max="9476" width="8" style="250"/>
    <col min="9477" max="9477" width="20" style="250" customWidth="1"/>
    <col min="9478" max="9720" width="8" style="250"/>
    <col min="9721" max="9721" width="3" style="250" customWidth="1"/>
    <col min="9722" max="9722" width="1.08984375" style="250" customWidth="1"/>
    <col min="9723" max="9723" width="29.36328125" style="250" customWidth="1"/>
    <col min="9724" max="9725" width="0.81640625" style="250" customWidth="1"/>
    <col min="9726" max="9726" width="29.36328125" style="250" customWidth="1"/>
    <col min="9727" max="9727" width="0.81640625" style="250" customWidth="1"/>
    <col min="9728" max="9728" width="29.36328125" style="250" customWidth="1"/>
    <col min="9729" max="9729" width="0.81640625" style="250" customWidth="1"/>
    <col min="9730" max="9730" width="29.36328125" style="250" customWidth="1"/>
    <col min="9731" max="9731" width="1" style="250" customWidth="1"/>
    <col min="9732" max="9732" width="8" style="250"/>
    <col min="9733" max="9733" width="20" style="250" customWidth="1"/>
    <col min="9734" max="9976" width="8" style="250"/>
    <col min="9977" max="9977" width="3" style="250" customWidth="1"/>
    <col min="9978" max="9978" width="1.08984375" style="250" customWidth="1"/>
    <col min="9979" max="9979" width="29.36328125" style="250" customWidth="1"/>
    <col min="9980" max="9981" width="0.81640625" style="250" customWidth="1"/>
    <col min="9982" max="9982" width="29.36328125" style="250" customWidth="1"/>
    <col min="9983" max="9983" width="0.81640625" style="250" customWidth="1"/>
    <col min="9984" max="9984" width="29.36328125" style="250" customWidth="1"/>
    <col min="9985" max="9985" width="0.81640625" style="250" customWidth="1"/>
    <col min="9986" max="9986" width="29.36328125" style="250" customWidth="1"/>
    <col min="9987" max="9987" width="1" style="250" customWidth="1"/>
    <col min="9988" max="9988" width="8" style="250"/>
    <col min="9989" max="9989" width="20" style="250" customWidth="1"/>
    <col min="9990" max="10232" width="8" style="250"/>
    <col min="10233" max="10233" width="3" style="250" customWidth="1"/>
    <col min="10234" max="10234" width="1.08984375" style="250" customWidth="1"/>
    <col min="10235" max="10235" width="29.36328125" style="250" customWidth="1"/>
    <col min="10236" max="10237" width="0.81640625" style="250" customWidth="1"/>
    <col min="10238" max="10238" width="29.36328125" style="250" customWidth="1"/>
    <col min="10239" max="10239" width="0.81640625" style="250" customWidth="1"/>
    <col min="10240" max="10240" width="29.36328125" style="250" customWidth="1"/>
    <col min="10241" max="10241" width="0.81640625" style="250" customWidth="1"/>
    <col min="10242" max="10242" width="29.36328125" style="250" customWidth="1"/>
    <col min="10243" max="10243" width="1" style="250" customWidth="1"/>
    <col min="10244" max="10244" width="8" style="250"/>
    <col min="10245" max="10245" width="20" style="250" customWidth="1"/>
    <col min="10246" max="10488" width="8" style="250"/>
    <col min="10489" max="10489" width="3" style="250" customWidth="1"/>
    <col min="10490" max="10490" width="1.08984375" style="250" customWidth="1"/>
    <col min="10491" max="10491" width="29.36328125" style="250" customWidth="1"/>
    <col min="10492" max="10493" width="0.81640625" style="250" customWidth="1"/>
    <col min="10494" max="10494" width="29.36328125" style="250" customWidth="1"/>
    <col min="10495" max="10495" width="0.81640625" style="250" customWidth="1"/>
    <col min="10496" max="10496" width="29.36328125" style="250" customWidth="1"/>
    <col min="10497" max="10497" width="0.81640625" style="250" customWidth="1"/>
    <col min="10498" max="10498" width="29.36328125" style="250" customWidth="1"/>
    <col min="10499" max="10499" width="1" style="250" customWidth="1"/>
    <col min="10500" max="10500" width="8" style="250"/>
    <col min="10501" max="10501" width="20" style="250" customWidth="1"/>
    <col min="10502" max="10744" width="8" style="250"/>
    <col min="10745" max="10745" width="3" style="250" customWidth="1"/>
    <col min="10746" max="10746" width="1.08984375" style="250" customWidth="1"/>
    <col min="10747" max="10747" width="29.36328125" style="250" customWidth="1"/>
    <col min="10748" max="10749" width="0.81640625" style="250" customWidth="1"/>
    <col min="10750" max="10750" width="29.36328125" style="250" customWidth="1"/>
    <col min="10751" max="10751" width="0.81640625" style="250" customWidth="1"/>
    <col min="10752" max="10752" width="29.36328125" style="250" customWidth="1"/>
    <col min="10753" max="10753" width="0.81640625" style="250" customWidth="1"/>
    <col min="10754" max="10754" width="29.36328125" style="250" customWidth="1"/>
    <col min="10755" max="10755" width="1" style="250" customWidth="1"/>
    <col min="10756" max="10756" width="8" style="250"/>
    <col min="10757" max="10757" width="20" style="250" customWidth="1"/>
    <col min="10758" max="11000" width="8" style="250"/>
    <col min="11001" max="11001" width="3" style="250" customWidth="1"/>
    <col min="11002" max="11002" width="1.08984375" style="250" customWidth="1"/>
    <col min="11003" max="11003" width="29.36328125" style="250" customWidth="1"/>
    <col min="11004" max="11005" width="0.81640625" style="250" customWidth="1"/>
    <col min="11006" max="11006" width="29.36328125" style="250" customWidth="1"/>
    <col min="11007" max="11007" width="0.81640625" style="250" customWidth="1"/>
    <col min="11008" max="11008" width="29.36328125" style="250" customWidth="1"/>
    <col min="11009" max="11009" width="0.81640625" style="250" customWidth="1"/>
    <col min="11010" max="11010" width="29.36328125" style="250" customWidth="1"/>
    <col min="11011" max="11011" width="1" style="250" customWidth="1"/>
    <col min="11012" max="11012" width="8" style="250"/>
    <col min="11013" max="11013" width="20" style="250" customWidth="1"/>
    <col min="11014" max="11256" width="8" style="250"/>
    <col min="11257" max="11257" width="3" style="250" customWidth="1"/>
    <col min="11258" max="11258" width="1.08984375" style="250" customWidth="1"/>
    <col min="11259" max="11259" width="29.36328125" style="250" customWidth="1"/>
    <col min="11260" max="11261" width="0.81640625" style="250" customWidth="1"/>
    <col min="11262" max="11262" width="29.36328125" style="250" customWidth="1"/>
    <col min="11263" max="11263" width="0.81640625" style="250" customWidth="1"/>
    <col min="11264" max="11264" width="29.36328125" style="250" customWidth="1"/>
    <col min="11265" max="11265" width="0.81640625" style="250" customWidth="1"/>
    <col min="11266" max="11266" width="29.36328125" style="250" customWidth="1"/>
    <col min="11267" max="11267" width="1" style="250" customWidth="1"/>
    <col min="11268" max="11268" width="8" style="250"/>
    <col min="11269" max="11269" width="20" style="250" customWidth="1"/>
    <col min="11270" max="11512" width="8" style="250"/>
    <col min="11513" max="11513" width="3" style="250" customWidth="1"/>
    <col min="11514" max="11514" width="1.08984375" style="250" customWidth="1"/>
    <col min="11515" max="11515" width="29.36328125" style="250" customWidth="1"/>
    <col min="11516" max="11517" width="0.81640625" style="250" customWidth="1"/>
    <col min="11518" max="11518" width="29.36328125" style="250" customWidth="1"/>
    <col min="11519" max="11519" width="0.81640625" style="250" customWidth="1"/>
    <col min="11520" max="11520" width="29.36328125" style="250" customWidth="1"/>
    <col min="11521" max="11521" width="0.81640625" style="250" customWidth="1"/>
    <col min="11522" max="11522" width="29.36328125" style="250" customWidth="1"/>
    <col min="11523" max="11523" width="1" style="250" customWidth="1"/>
    <col min="11524" max="11524" width="8" style="250"/>
    <col min="11525" max="11525" width="20" style="250" customWidth="1"/>
    <col min="11526" max="11768" width="8" style="250"/>
    <col min="11769" max="11769" width="3" style="250" customWidth="1"/>
    <col min="11770" max="11770" width="1.08984375" style="250" customWidth="1"/>
    <col min="11771" max="11771" width="29.36328125" style="250" customWidth="1"/>
    <col min="11772" max="11773" width="0.81640625" style="250" customWidth="1"/>
    <col min="11774" max="11774" width="29.36328125" style="250" customWidth="1"/>
    <col min="11775" max="11775" width="0.81640625" style="250" customWidth="1"/>
    <col min="11776" max="11776" width="29.36328125" style="250" customWidth="1"/>
    <col min="11777" max="11777" width="0.81640625" style="250" customWidth="1"/>
    <col min="11778" max="11778" width="29.36328125" style="250" customWidth="1"/>
    <col min="11779" max="11779" width="1" style="250" customWidth="1"/>
    <col min="11780" max="11780" width="8" style="250"/>
    <col min="11781" max="11781" width="20" style="250" customWidth="1"/>
    <col min="11782" max="12024" width="8" style="250"/>
    <col min="12025" max="12025" width="3" style="250" customWidth="1"/>
    <col min="12026" max="12026" width="1.08984375" style="250" customWidth="1"/>
    <col min="12027" max="12027" width="29.36328125" style="250" customWidth="1"/>
    <col min="12028" max="12029" width="0.81640625" style="250" customWidth="1"/>
    <col min="12030" max="12030" width="29.36328125" style="250" customWidth="1"/>
    <col min="12031" max="12031" width="0.81640625" style="250" customWidth="1"/>
    <col min="12032" max="12032" width="29.36328125" style="250" customWidth="1"/>
    <col min="12033" max="12033" width="0.81640625" style="250" customWidth="1"/>
    <col min="12034" max="12034" width="29.36328125" style="250" customWidth="1"/>
    <col min="12035" max="12035" width="1" style="250" customWidth="1"/>
    <col min="12036" max="12036" width="8" style="250"/>
    <col min="12037" max="12037" width="20" style="250" customWidth="1"/>
    <col min="12038" max="12280" width="8" style="250"/>
    <col min="12281" max="12281" width="3" style="250" customWidth="1"/>
    <col min="12282" max="12282" width="1.08984375" style="250" customWidth="1"/>
    <col min="12283" max="12283" width="29.36328125" style="250" customWidth="1"/>
    <col min="12284" max="12285" width="0.81640625" style="250" customWidth="1"/>
    <col min="12286" max="12286" width="29.36328125" style="250" customWidth="1"/>
    <col min="12287" max="12287" width="0.81640625" style="250" customWidth="1"/>
    <col min="12288" max="12288" width="29.36328125" style="250" customWidth="1"/>
    <col min="12289" max="12289" width="0.81640625" style="250" customWidth="1"/>
    <col min="12290" max="12290" width="29.36328125" style="250" customWidth="1"/>
    <col min="12291" max="12291" width="1" style="250" customWidth="1"/>
    <col min="12292" max="12292" width="8" style="250"/>
    <col min="12293" max="12293" width="20" style="250" customWidth="1"/>
    <col min="12294" max="12536" width="8" style="250"/>
    <col min="12537" max="12537" width="3" style="250" customWidth="1"/>
    <col min="12538" max="12538" width="1.08984375" style="250" customWidth="1"/>
    <col min="12539" max="12539" width="29.36328125" style="250" customWidth="1"/>
    <col min="12540" max="12541" width="0.81640625" style="250" customWidth="1"/>
    <col min="12542" max="12542" width="29.36328125" style="250" customWidth="1"/>
    <col min="12543" max="12543" width="0.81640625" style="250" customWidth="1"/>
    <col min="12544" max="12544" width="29.36328125" style="250" customWidth="1"/>
    <col min="12545" max="12545" width="0.81640625" style="250" customWidth="1"/>
    <col min="12546" max="12546" width="29.36328125" style="250" customWidth="1"/>
    <col min="12547" max="12547" width="1" style="250" customWidth="1"/>
    <col min="12548" max="12548" width="8" style="250"/>
    <col min="12549" max="12549" width="20" style="250" customWidth="1"/>
    <col min="12550" max="12792" width="8" style="250"/>
    <col min="12793" max="12793" width="3" style="250" customWidth="1"/>
    <col min="12794" max="12794" width="1.08984375" style="250" customWidth="1"/>
    <col min="12795" max="12795" width="29.36328125" style="250" customWidth="1"/>
    <col min="12796" max="12797" width="0.81640625" style="250" customWidth="1"/>
    <col min="12798" max="12798" width="29.36328125" style="250" customWidth="1"/>
    <col min="12799" max="12799" width="0.81640625" style="250" customWidth="1"/>
    <col min="12800" max="12800" width="29.36328125" style="250" customWidth="1"/>
    <col min="12801" max="12801" width="0.81640625" style="250" customWidth="1"/>
    <col min="12802" max="12802" width="29.36328125" style="250" customWidth="1"/>
    <col min="12803" max="12803" width="1" style="250" customWidth="1"/>
    <col min="12804" max="12804" width="8" style="250"/>
    <col min="12805" max="12805" width="20" style="250" customWidth="1"/>
    <col min="12806" max="13048" width="8" style="250"/>
    <col min="13049" max="13049" width="3" style="250" customWidth="1"/>
    <col min="13050" max="13050" width="1.08984375" style="250" customWidth="1"/>
    <col min="13051" max="13051" width="29.36328125" style="250" customWidth="1"/>
    <col min="13052" max="13053" width="0.81640625" style="250" customWidth="1"/>
    <col min="13054" max="13054" width="29.36328125" style="250" customWidth="1"/>
    <col min="13055" max="13055" width="0.81640625" style="250" customWidth="1"/>
    <col min="13056" max="13056" width="29.36328125" style="250" customWidth="1"/>
    <col min="13057" max="13057" width="0.81640625" style="250" customWidth="1"/>
    <col min="13058" max="13058" width="29.36328125" style="250" customWidth="1"/>
    <col min="13059" max="13059" width="1" style="250" customWidth="1"/>
    <col min="13060" max="13060" width="8" style="250"/>
    <col min="13061" max="13061" width="20" style="250" customWidth="1"/>
    <col min="13062" max="13304" width="8" style="250"/>
    <col min="13305" max="13305" width="3" style="250" customWidth="1"/>
    <col min="13306" max="13306" width="1.08984375" style="250" customWidth="1"/>
    <col min="13307" max="13307" width="29.36328125" style="250" customWidth="1"/>
    <col min="13308" max="13309" width="0.81640625" style="250" customWidth="1"/>
    <col min="13310" max="13310" width="29.36328125" style="250" customWidth="1"/>
    <col min="13311" max="13311" width="0.81640625" style="250" customWidth="1"/>
    <col min="13312" max="13312" width="29.36328125" style="250" customWidth="1"/>
    <col min="13313" max="13313" width="0.81640625" style="250" customWidth="1"/>
    <col min="13314" max="13314" width="29.36328125" style="250" customWidth="1"/>
    <col min="13315" max="13315" width="1" style="250" customWidth="1"/>
    <col min="13316" max="13316" width="8" style="250"/>
    <col min="13317" max="13317" width="20" style="250" customWidth="1"/>
    <col min="13318" max="13560" width="8" style="250"/>
    <col min="13561" max="13561" width="3" style="250" customWidth="1"/>
    <col min="13562" max="13562" width="1.08984375" style="250" customWidth="1"/>
    <col min="13563" max="13563" width="29.36328125" style="250" customWidth="1"/>
    <col min="13564" max="13565" width="0.81640625" style="250" customWidth="1"/>
    <col min="13566" max="13566" width="29.36328125" style="250" customWidth="1"/>
    <col min="13567" max="13567" width="0.81640625" style="250" customWidth="1"/>
    <col min="13568" max="13568" width="29.36328125" style="250" customWidth="1"/>
    <col min="13569" max="13569" width="0.81640625" style="250" customWidth="1"/>
    <col min="13570" max="13570" width="29.36328125" style="250" customWidth="1"/>
    <col min="13571" max="13571" width="1" style="250" customWidth="1"/>
    <col min="13572" max="13572" width="8" style="250"/>
    <col min="13573" max="13573" width="20" style="250" customWidth="1"/>
    <col min="13574" max="13816" width="8" style="250"/>
    <col min="13817" max="13817" width="3" style="250" customWidth="1"/>
    <col min="13818" max="13818" width="1.08984375" style="250" customWidth="1"/>
    <col min="13819" max="13819" width="29.36328125" style="250" customWidth="1"/>
    <col min="13820" max="13821" width="0.81640625" style="250" customWidth="1"/>
    <col min="13822" max="13822" width="29.36328125" style="250" customWidth="1"/>
    <col min="13823" max="13823" width="0.81640625" style="250" customWidth="1"/>
    <col min="13824" max="13824" width="29.36328125" style="250" customWidth="1"/>
    <col min="13825" max="13825" width="0.81640625" style="250" customWidth="1"/>
    <col min="13826" max="13826" width="29.36328125" style="250" customWidth="1"/>
    <col min="13827" max="13827" width="1" style="250" customWidth="1"/>
    <col min="13828" max="13828" width="8" style="250"/>
    <col min="13829" max="13829" width="20" style="250" customWidth="1"/>
    <col min="13830" max="14072" width="8" style="250"/>
    <col min="14073" max="14073" width="3" style="250" customWidth="1"/>
    <col min="14074" max="14074" width="1.08984375" style="250" customWidth="1"/>
    <col min="14075" max="14075" width="29.36328125" style="250" customWidth="1"/>
    <col min="14076" max="14077" width="0.81640625" style="250" customWidth="1"/>
    <col min="14078" max="14078" width="29.36328125" style="250" customWidth="1"/>
    <col min="14079" max="14079" width="0.81640625" style="250" customWidth="1"/>
    <col min="14080" max="14080" width="29.36328125" style="250" customWidth="1"/>
    <col min="14081" max="14081" width="0.81640625" style="250" customWidth="1"/>
    <col min="14082" max="14082" width="29.36328125" style="250" customWidth="1"/>
    <col min="14083" max="14083" width="1" style="250" customWidth="1"/>
    <col min="14084" max="14084" width="8" style="250"/>
    <col min="14085" max="14085" width="20" style="250" customWidth="1"/>
    <col min="14086" max="14328" width="8" style="250"/>
    <col min="14329" max="14329" width="3" style="250" customWidth="1"/>
    <col min="14330" max="14330" width="1.08984375" style="250" customWidth="1"/>
    <col min="14331" max="14331" width="29.36328125" style="250" customWidth="1"/>
    <col min="14332" max="14333" width="0.81640625" style="250" customWidth="1"/>
    <col min="14334" max="14334" width="29.36328125" style="250" customWidth="1"/>
    <col min="14335" max="14335" width="0.81640625" style="250" customWidth="1"/>
    <col min="14336" max="14336" width="29.36328125" style="250" customWidth="1"/>
    <col min="14337" max="14337" width="0.81640625" style="250" customWidth="1"/>
    <col min="14338" max="14338" width="29.36328125" style="250" customWidth="1"/>
    <col min="14339" max="14339" width="1" style="250" customWidth="1"/>
    <col min="14340" max="14340" width="8" style="250"/>
    <col min="14341" max="14341" width="20" style="250" customWidth="1"/>
    <col min="14342" max="14584" width="8" style="250"/>
    <col min="14585" max="14585" width="3" style="250" customWidth="1"/>
    <col min="14586" max="14586" width="1.08984375" style="250" customWidth="1"/>
    <col min="14587" max="14587" width="29.36328125" style="250" customWidth="1"/>
    <col min="14588" max="14589" width="0.81640625" style="250" customWidth="1"/>
    <col min="14590" max="14590" width="29.36328125" style="250" customWidth="1"/>
    <col min="14591" max="14591" width="0.81640625" style="250" customWidth="1"/>
    <col min="14592" max="14592" width="29.36328125" style="250" customWidth="1"/>
    <col min="14593" max="14593" width="0.81640625" style="250" customWidth="1"/>
    <col min="14594" max="14594" width="29.36328125" style="250" customWidth="1"/>
    <col min="14595" max="14595" width="1" style="250" customWidth="1"/>
    <col min="14596" max="14596" width="8" style="250"/>
    <col min="14597" max="14597" width="20" style="250" customWidth="1"/>
    <col min="14598" max="14840" width="8" style="250"/>
    <col min="14841" max="14841" width="3" style="250" customWidth="1"/>
    <col min="14842" max="14842" width="1.08984375" style="250" customWidth="1"/>
    <col min="14843" max="14843" width="29.36328125" style="250" customWidth="1"/>
    <col min="14844" max="14845" width="0.81640625" style="250" customWidth="1"/>
    <col min="14846" max="14846" width="29.36328125" style="250" customWidth="1"/>
    <col min="14847" max="14847" width="0.81640625" style="250" customWidth="1"/>
    <col min="14848" max="14848" width="29.36328125" style="250" customWidth="1"/>
    <col min="14849" max="14849" width="0.81640625" style="250" customWidth="1"/>
    <col min="14850" max="14850" width="29.36328125" style="250" customWidth="1"/>
    <col min="14851" max="14851" width="1" style="250" customWidth="1"/>
    <col min="14852" max="14852" width="8" style="250"/>
    <col min="14853" max="14853" width="20" style="250" customWidth="1"/>
    <col min="14854" max="15096" width="8" style="250"/>
    <col min="15097" max="15097" width="3" style="250" customWidth="1"/>
    <col min="15098" max="15098" width="1.08984375" style="250" customWidth="1"/>
    <col min="15099" max="15099" width="29.36328125" style="250" customWidth="1"/>
    <col min="15100" max="15101" width="0.81640625" style="250" customWidth="1"/>
    <col min="15102" max="15102" width="29.36328125" style="250" customWidth="1"/>
    <col min="15103" max="15103" width="0.81640625" style="250" customWidth="1"/>
    <col min="15104" max="15104" width="29.36328125" style="250" customWidth="1"/>
    <col min="15105" max="15105" width="0.81640625" style="250" customWidth="1"/>
    <col min="15106" max="15106" width="29.36328125" style="250" customWidth="1"/>
    <col min="15107" max="15107" width="1" style="250" customWidth="1"/>
    <col min="15108" max="15108" width="8" style="250"/>
    <col min="15109" max="15109" width="20" style="250" customWidth="1"/>
    <col min="15110" max="15352" width="8" style="250"/>
    <col min="15353" max="15353" width="3" style="250" customWidth="1"/>
    <col min="15354" max="15354" width="1.08984375" style="250" customWidth="1"/>
    <col min="15355" max="15355" width="29.36328125" style="250" customWidth="1"/>
    <col min="15356" max="15357" width="0.81640625" style="250" customWidth="1"/>
    <col min="15358" max="15358" width="29.36328125" style="250" customWidth="1"/>
    <col min="15359" max="15359" width="0.81640625" style="250" customWidth="1"/>
    <col min="15360" max="15360" width="29.36328125" style="250" customWidth="1"/>
    <col min="15361" max="15361" width="0.81640625" style="250" customWidth="1"/>
    <col min="15362" max="15362" width="29.36328125" style="250" customWidth="1"/>
    <col min="15363" max="15363" width="1" style="250" customWidth="1"/>
    <col min="15364" max="15364" width="8" style="250"/>
    <col min="15365" max="15365" width="20" style="250" customWidth="1"/>
    <col min="15366" max="15608" width="8" style="250"/>
    <col min="15609" max="15609" width="3" style="250" customWidth="1"/>
    <col min="15610" max="15610" width="1.08984375" style="250" customWidth="1"/>
    <col min="15611" max="15611" width="29.36328125" style="250" customWidth="1"/>
    <col min="15612" max="15613" width="0.81640625" style="250" customWidth="1"/>
    <col min="15614" max="15614" width="29.36328125" style="250" customWidth="1"/>
    <col min="15615" max="15615" width="0.81640625" style="250" customWidth="1"/>
    <col min="15616" max="15616" width="29.36328125" style="250" customWidth="1"/>
    <col min="15617" max="15617" width="0.81640625" style="250" customWidth="1"/>
    <col min="15618" max="15618" width="29.36328125" style="250" customWidth="1"/>
    <col min="15619" max="15619" width="1" style="250" customWidth="1"/>
    <col min="15620" max="15620" width="8" style="250"/>
    <col min="15621" max="15621" width="20" style="250" customWidth="1"/>
    <col min="15622" max="15864" width="8" style="250"/>
    <col min="15865" max="15865" width="3" style="250" customWidth="1"/>
    <col min="15866" max="15866" width="1.08984375" style="250" customWidth="1"/>
    <col min="15867" max="15867" width="29.36328125" style="250" customWidth="1"/>
    <col min="15868" max="15869" width="0.81640625" style="250" customWidth="1"/>
    <col min="15870" max="15870" width="29.36328125" style="250" customWidth="1"/>
    <col min="15871" max="15871" width="0.81640625" style="250" customWidth="1"/>
    <col min="15872" max="15872" width="29.36328125" style="250" customWidth="1"/>
    <col min="15873" max="15873" width="0.81640625" style="250" customWidth="1"/>
    <col min="15874" max="15874" width="29.36328125" style="250" customWidth="1"/>
    <col min="15875" max="15875" width="1" style="250" customWidth="1"/>
    <col min="15876" max="15876" width="8" style="250"/>
    <col min="15877" max="15877" width="20" style="250" customWidth="1"/>
    <col min="15878" max="16120" width="8" style="250"/>
    <col min="16121" max="16121" width="3" style="250" customWidth="1"/>
    <col min="16122" max="16122" width="1.08984375" style="250" customWidth="1"/>
    <col min="16123" max="16123" width="29.36328125" style="250" customWidth="1"/>
    <col min="16124" max="16125" width="0.81640625" style="250" customWidth="1"/>
    <col min="16126" max="16126" width="29.36328125" style="250" customWidth="1"/>
    <col min="16127" max="16127" width="0.81640625" style="250" customWidth="1"/>
    <col min="16128" max="16128" width="29.36328125" style="250" customWidth="1"/>
    <col min="16129" max="16129" width="0.81640625" style="250" customWidth="1"/>
    <col min="16130" max="16130" width="29.36328125" style="250" customWidth="1"/>
    <col min="16131" max="16131" width="1" style="250" customWidth="1"/>
    <col min="16132" max="16132" width="8" style="250"/>
    <col min="16133" max="16133" width="20" style="250" customWidth="1"/>
    <col min="16134" max="16384" width="8" style="250"/>
  </cols>
  <sheetData>
    <row r="1" spans="1:10" s="247" customFormat="1" ht="31.5" customHeight="1">
      <c r="A1" s="244"/>
      <c r="B1" s="179" t="str">
        <f>'1-Start'!C7</f>
        <v>American Captive Company</v>
      </c>
      <c r="C1" s="244"/>
      <c r="D1" s="244"/>
      <c r="E1" s="244"/>
      <c r="F1" s="244"/>
      <c r="G1" s="244"/>
      <c r="H1" s="244"/>
      <c r="I1" s="245"/>
      <c r="J1" s="246"/>
    </row>
    <row r="2" spans="1:10" ht="4.5" customHeight="1">
      <c r="A2" s="248"/>
      <c r="B2" s="248"/>
      <c r="C2" s="248"/>
      <c r="D2" s="248"/>
      <c r="E2" s="248"/>
      <c r="F2" s="248"/>
      <c r="G2" s="248"/>
      <c r="H2" s="248"/>
      <c r="I2" s="248"/>
      <c r="J2" s="249"/>
    </row>
    <row r="3" spans="1:10">
      <c r="J3" s="249"/>
    </row>
    <row r="4" spans="1:10" ht="5.25" customHeight="1">
      <c r="A4" s="251"/>
    </row>
    <row r="5" spans="1:10" ht="15" customHeight="1">
      <c r="A5" s="252"/>
      <c r="B5" s="253"/>
      <c r="I5" s="254"/>
      <c r="J5" s="254"/>
    </row>
    <row r="6" spans="1:10" ht="30.75" customHeight="1">
      <c r="A6" s="252"/>
      <c r="B6" s="255" t="s">
        <v>53</v>
      </c>
      <c r="C6" s="256"/>
      <c r="D6" s="256"/>
      <c r="E6" s="256"/>
      <c r="F6" s="257"/>
      <c r="G6" s="256"/>
      <c r="H6" s="258"/>
      <c r="I6" s="259"/>
    </row>
    <row r="7" spans="1:10" ht="3.75" customHeight="1">
      <c r="A7" s="252"/>
      <c r="B7" s="260"/>
      <c r="C7" s="261"/>
      <c r="D7" s="261"/>
      <c r="E7" s="261"/>
      <c r="F7" s="262"/>
      <c r="G7" s="261"/>
      <c r="H7" s="263"/>
      <c r="I7" s="264"/>
      <c r="J7" s="265"/>
    </row>
    <row r="8" spans="1:10" ht="12.5" customHeight="1">
      <c r="A8" s="252"/>
      <c r="B8" s="266"/>
      <c r="C8" s="267"/>
      <c r="D8" s="266"/>
      <c r="E8" s="268"/>
      <c r="F8" s="266"/>
      <c r="G8" s="268"/>
      <c r="H8" s="266"/>
      <c r="I8" s="266"/>
      <c r="J8" s="267"/>
    </row>
    <row r="9" spans="1:10" ht="11.25" customHeight="1">
      <c r="A9" s="252"/>
      <c r="B9" s="266"/>
      <c r="C9" s="269">
        <f>[1]xGraph!A1</f>
        <v>1</v>
      </c>
      <c r="D9" s="270"/>
      <c r="E9" s="269">
        <f>[1]xGraph!A5</f>
        <v>2</v>
      </c>
      <c r="F9" s="266"/>
      <c r="G9" s="269">
        <f>E9+1</f>
        <v>3</v>
      </c>
      <c r="H9" s="266"/>
      <c r="I9" s="269">
        <f>G9+1</f>
        <v>4</v>
      </c>
      <c r="J9" s="271"/>
    </row>
    <row r="10" spans="1:10" s="276" customFormat="1" ht="33" customHeight="1">
      <c r="A10" s="252"/>
      <c r="B10" s="272"/>
      <c r="C10" s="273" t="s">
        <v>115</v>
      </c>
      <c r="D10" s="266"/>
      <c r="E10" s="273" t="s">
        <v>116</v>
      </c>
      <c r="F10" s="272"/>
      <c r="G10" s="274" t="s">
        <v>242</v>
      </c>
      <c r="H10" s="272"/>
      <c r="I10" s="274" t="s">
        <v>48</v>
      </c>
      <c r="J10" s="275"/>
    </row>
    <row r="11" spans="1:10" ht="78" customHeight="1">
      <c r="A11" s="252"/>
      <c r="B11" s="266"/>
      <c r="C11" s="277"/>
      <c r="D11" s="266"/>
      <c r="E11" s="277"/>
      <c r="F11" s="266"/>
      <c r="G11" s="277"/>
      <c r="H11" s="266"/>
      <c r="I11" s="277"/>
      <c r="J11" s="267"/>
    </row>
    <row r="12" spans="1:10" ht="8" customHeight="1">
      <c r="B12" s="266"/>
      <c r="C12" s="278"/>
      <c r="D12" s="266"/>
      <c r="E12" s="278"/>
      <c r="F12" s="266"/>
      <c r="G12" s="278"/>
      <c r="H12" s="266"/>
      <c r="I12" s="278"/>
      <c r="J12" s="279"/>
    </row>
    <row r="13" spans="1:10" ht="5" customHeight="1">
      <c r="A13" s="252"/>
      <c r="B13" s="266"/>
      <c r="C13" s="266"/>
      <c r="D13" s="266"/>
      <c r="E13" s="266"/>
      <c r="F13" s="266"/>
      <c r="G13" s="266"/>
      <c r="H13" s="266"/>
      <c r="I13" s="266"/>
      <c r="J13" s="267"/>
    </row>
    <row r="14" spans="1:10" ht="10.25" customHeight="1">
      <c r="A14" s="252"/>
      <c r="B14" s="266"/>
      <c r="C14" s="266"/>
      <c r="D14" s="266"/>
      <c r="E14" s="280"/>
      <c r="F14" s="266"/>
      <c r="G14" s="266"/>
      <c r="H14" s="266"/>
      <c r="I14" s="281"/>
      <c r="J14" s="282"/>
    </row>
    <row r="15" spans="1:10" ht="11.25" customHeight="1">
      <c r="A15" s="252"/>
      <c r="B15" s="266"/>
      <c r="C15" s="269">
        <f>I9+1</f>
        <v>5</v>
      </c>
      <c r="D15" s="266"/>
      <c r="E15" s="269">
        <f>C15+1</f>
        <v>6</v>
      </c>
      <c r="F15" s="266"/>
      <c r="G15" s="269">
        <f>E15+1</f>
        <v>7</v>
      </c>
      <c r="H15" s="266"/>
      <c r="I15" s="269">
        <f>G15+1</f>
        <v>8</v>
      </c>
      <c r="J15" s="271"/>
    </row>
    <row r="16" spans="1:10" s="276" customFormat="1" ht="33" customHeight="1">
      <c r="A16" s="252"/>
      <c r="B16" s="272"/>
      <c r="C16" s="273" t="s">
        <v>207</v>
      </c>
      <c r="D16" s="272"/>
      <c r="E16" s="273" t="s">
        <v>118</v>
      </c>
      <c r="F16" s="272"/>
      <c r="G16" s="296" t="s">
        <v>364</v>
      </c>
      <c r="H16" s="272"/>
      <c r="I16" s="273" t="s">
        <v>119</v>
      </c>
      <c r="J16" s="275"/>
    </row>
    <row r="17" spans="1:10" ht="78" customHeight="1">
      <c r="A17" s="252"/>
      <c r="B17" s="266"/>
      <c r="C17" s="277"/>
      <c r="D17" s="266"/>
      <c r="E17" s="277"/>
      <c r="F17" s="266"/>
      <c r="G17" s="277"/>
      <c r="H17" s="266"/>
      <c r="I17" s="277"/>
      <c r="J17" s="267"/>
    </row>
    <row r="18" spans="1:10" ht="8" customHeight="1">
      <c r="A18" s="252"/>
      <c r="B18" s="266"/>
      <c r="C18" s="278" t="s">
        <v>375</v>
      </c>
      <c r="D18" s="266"/>
      <c r="E18" s="278"/>
      <c r="F18" s="266"/>
      <c r="G18" s="278"/>
      <c r="H18" s="266"/>
      <c r="I18" s="278"/>
      <c r="J18" s="279"/>
    </row>
    <row r="19" spans="1:10" ht="5" customHeight="1">
      <c r="A19" s="252"/>
      <c r="B19" s="266"/>
      <c r="C19" s="266"/>
      <c r="D19" s="266"/>
      <c r="E19" s="266"/>
      <c r="F19" s="266"/>
      <c r="G19" s="266"/>
      <c r="H19" s="266"/>
      <c r="I19" s="266"/>
    </row>
    <row r="20" spans="1:10" ht="10.25" customHeight="1">
      <c r="A20" s="252"/>
      <c r="B20" s="266"/>
      <c r="C20" s="280"/>
      <c r="D20" s="266"/>
      <c r="E20" s="266"/>
      <c r="F20" s="266"/>
      <c r="G20" s="266"/>
      <c r="H20" s="266"/>
      <c r="I20" s="266"/>
      <c r="J20" s="267"/>
    </row>
    <row r="21" spans="1:10" ht="11.25" customHeight="1">
      <c r="A21" s="252"/>
      <c r="B21" s="266"/>
      <c r="C21" s="269">
        <f>I15+1</f>
        <v>9</v>
      </c>
      <c r="D21" s="266"/>
      <c r="E21" s="269">
        <f>C21+1</f>
        <v>10</v>
      </c>
      <c r="F21" s="266"/>
      <c r="G21" s="269">
        <f>E21+1</f>
        <v>11</v>
      </c>
      <c r="H21" s="266"/>
      <c r="I21" s="269">
        <f>G21+1</f>
        <v>12</v>
      </c>
      <c r="J21" s="271"/>
    </row>
    <row r="22" spans="1:10" s="285" customFormat="1" ht="33" customHeight="1">
      <c r="A22" s="283"/>
      <c r="B22" s="284"/>
      <c r="C22" s="273" t="s">
        <v>280</v>
      </c>
      <c r="D22" s="284"/>
      <c r="E22" s="273" t="s">
        <v>124</v>
      </c>
      <c r="F22" s="284"/>
      <c r="G22" s="273" t="s">
        <v>127</v>
      </c>
      <c r="H22" s="284"/>
      <c r="I22" s="273" t="s">
        <v>128</v>
      </c>
      <c r="J22" s="275"/>
    </row>
    <row r="23" spans="1:10" ht="78" customHeight="1">
      <c r="A23" s="252"/>
      <c r="B23" s="266"/>
      <c r="C23" s="277"/>
      <c r="D23" s="266"/>
      <c r="E23" s="277"/>
      <c r="F23" s="266"/>
      <c r="G23" s="277"/>
      <c r="H23" s="266"/>
      <c r="I23" s="277"/>
      <c r="J23" s="267"/>
    </row>
    <row r="24" spans="1:10" ht="8" customHeight="1">
      <c r="B24" s="266"/>
      <c r="C24" s="278"/>
      <c r="D24" s="266"/>
      <c r="E24" s="278"/>
      <c r="F24" s="266"/>
      <c r="G24" s="278"/>
      <c r="H24" s="266"/>
      <c r="I24" s="278"/>
      <c r="J24" s="279"/>
    </row>
    <row r="25" spans="1:10" ht="5" customHeight="1">
      <c r="A25" s="252"/>
      <c r="B25" s="266"/>
      <c r="C25" s="266"/>
      <c r="D25" s="266"/>
      <c r="E25" s="266"/>
      <c r="F25" s="266"/>
      <c r="G25" s="266"/>
      <c r="H25" s="266"/>
      <c r="I25" s="266"/>
      <c r="J25" s="267"/>
    </row>
    <row r="26" spans="1:10" ht="10.25" customHeight="1">
      <c r="A26" s="252"/>
      <c r="B26" s="266"/>
      <c r="C26" s="280"/>
      <c r="D26" s="266"/>
      <c r="E26" s="281"/>
      <c r="F26" s="266"/>
      <c r="G26" s="281"/>
      <c r="H26" s="281"/>
      <c r="I26" s="281"/>
      <c r="J26" s="282"/>
    </row>
    <row r="27" spans="1:10" ht="11.25" customHeight="1">
      <c r="A27" s="252"/>
      <c r="B27" s="266"/>
      <c r="C27" s="269">
        <f>I21+1</f>
        <v>13</v>
      </c>
      <c r="D27" s="266"/>
      <c r="E27" s="269">
        <f>C27+1</f>
        <v>14</v>
      </c>
      <c r="F27" s="266"/>
      <c r="G27" s="269">
        <f>E27+1</f>
        <v>15</v>
      </c>
      <c r="H27" s="281"/>
      <c r="I27" s="269">
        <f>G27+1</f>
        <v>16</v>
      </c>
      <c r="J27" s="271"/>
    </row>
    <row r="28" spans="1:10" s="285" customFormat="1" ht="33" customHeight="1">
      <c r="A28" s="283"/>
      <c r="B28" s="284"/>
      <c r="C28" s="273" t="s">
        <v>73</v>
      </c>
      <c r="D28" s="284"/>
      <c r="E28" s="273" t="s">
        <v>132</v>
      </c>
      <c r="F28" s="286"/>
      <c r="G28" s="273" t="s">
        <v>134</v>
      </c>
      <c r="H28" s="287"/>
      <c r="I28" s="273" t="s">
        <v>135</v>
      </c>
      <c r="J28" s="275"/>
    </row>
    <row r="29" spans="1:10" ht="78" customHeight="1">
      <c r="A29" s="252"/>
      <c r="B29" s="266"/>
      <c r="C29" s="277"/>
      <c r="D29" s="266"/>
      <c r="E29" s="277"/>
      <c r="F29" s="266"/>
      <c r="G29" s="277"/>
      <c r="H29" s="281"/>
      <c r="I29" s="277"/>
      <c r="J29" s="267"/>
    </row>
    <row r="30" spans="1:10" ht="8" customHeight="1">
      <c r="A30" s="252"/>
      <c r="B30" s="266"/>
      <c r="C30" s="278"/>
      <c r="D30" s="266"/>
      <c r="E30" s="278"/>
      <c r="F30" s="266"/>
      <c r="G30" s="278"/>
      <c r="H30" s="281"/>
      <c r="I30" s="278"/>
      <c r="J30" s="279"/>
    </row>
    <row r="31" spans="1:10" ht="5" customHeight="1">
      <c r="A31" s="252"/>
      <c r="B31" s="266"/>
      <c r="C31" s="266"/>
      <c r="D31" s="266"/>
      <c r="E31" s="266"/>
      <c r="F31" s="266"/>
      <c r="G31" s="281"/>
      <c r="H31" s="281"/>
      <c r="I31" s="281"/>
      <c r="J31" s="282"/>
    </row>
    <row r="32" spans="1:10" ht="10.25" customHeight="1">
      <c r="A32" s="252"/>
      <c r="B32" s="266"/>
      <c r="C32" s="288"/>
      <c r="D32" s="281"/>
      <c r="E32" s="288"/>
      <c r="F32" s="266"/>
      <c r="G32" s="266"/>
      <c r="H32" s="266"/>
      <c r="I32" s="266"/>
      <c r="J32" s="267"/>
    </row>
    <row r="33" spans="1:10" ht="11.25" customHeight="1">
      <c r="B33" s="266"/>
      <c r="C33" s="269">
        <f>I27+1</f>
        <v>17</v>
      </c>
      <c r="D33" s="281"/>
      <c r="E33" s="269">
        <f>C33+1</f>
        <v>18</v>
      </c>
      <c r="F33" s="289"/>
      <c r="G33" s="269">
        <f>E33+1</f>
        <v>19</v>
      </c>
      <c r="H33" s="289"/>
      <c r="I33" s="269">
        <f>G33+1</f>
        <v>20</v>
      </c>
      <c r="J33" s="271"/>
    </row>
    <row r="34" spans="1:10" s="276" customFormat="1" ht="33" customHeight="1">
      <c r="A34" s="252"/>
      <c r="B34" s="272"/>
      <c r="C34" s="273" t="s">
        <v>47</v>
      </c>
      <c r="D34" s="281"/>
      <c r="E34" s="273" t="s">
        <v>114</v>
      </c>
      <c r="F34" s="266"/>
      <c r="G34" s="296" t="s">
        <v>362</v>
      </c>
      <c r="H34" s="266"/>
      <c r="I34" s="273" t="s">
        <v>38</v>
      </c>
      <c r="J34" s="275"/>
    </row>
    <row r="35" spans="1:10" ht="78" customHeight="1">
      <c r="A35" s="252"/>
      <c r="B35" s="266"/>
      <c r="C35" s="277"/>
      <c r="D35" s="281"/>
      <c r="E35" s="277"/>
      <c r="F35" s="266"/>
      <c r="G35" s="277"/>
      <c r="H35" s="266"/>
      <c r="I35" s="277"/>
      <c r="J35" s="267"/>
    </row>
    <row r="36" spans="1:10" ht="8" customHeight="1">
      <c r="A36" s="252"/>
      <c r="B36" s="266"/>
      <c r="C36" s="278"/>
      <c r="D36" s="281"/>
      <c r="E36" s="278"/>
      <c r="F36" s="266"/>
      <c r="G36" s="278"/>
      <c r="H36" s="266"/>
      <c r="I36" s="278"/>
      <c r="J36" s="279"/>
    </row>
    <row r="37" spans="1:10" ht="5" customHeight="1">
      <c r="A37" s="252"/>
      <c r="B37" s="266"/>
      <c r="C37" s="266"/>
      <c r="D37" s="266"/>
      <c r="E37" s="266"/>
      <c r="F37" s="266"/>
      <c r="G37" s="266"/>
      <c r="H37" s="266"/>
      <c r="I37" s="266"/>
      <c r="J37" s="267"/>
    </row>
    <row r="38" spans="1:10" ht="10.25" customHeight="1">
      <c r="A38" s="252"/>
      <c r="B38" s="266"/>
      <c r="C38" s="280"/>
      <c r="D38" s="266"/>
      <c r="E38" s="266"/>
      <c r="F38" s="266"/>
      <c r="G38" s="266"/>
      <c r="H38" s="266"/>
      <c r="I38" s="266"/>
      <c r="J38" s="267"/>
    </row>
    <row r="39" spans="1:10" ht="11.25" customHeight="1">
      <c r="A39" s="252"/>
      <c r="B39" s="266"/>
      <c r="C39" s="269">
        <f>I33+1</f>
        <v>21</v>
      </c>
      <c r="D39" s="266"/>
      <c r="E39" s="269">
        <f>C39+1</f>
        <v>22</v>
      </c>
      <c r="F39" s="267"/>
      <c r="G39" s="312">
        <f>E39+1</f>
        <v>23</v>
      </c>
      <c r="H39" s="267"/>
      <c r="I39" s="269">
        <f>G39+1</f>
        <v>24</v>
      </c>
      <c r="J39" s="271"/>
    </row>
    <row r="40" spans="1:10" s="294" customFormat="1" ht="33" customHeight="1">
      <c r="A40" s="290"/>
      <c r="B40" s="291"/>
      <c r="C40" s="273" t="s">
        <v>39</v>
      </c>
      <c r="D40" s="291"/>
      <c r="E40" s="273" t="s">
        <v>44</v>
      </c>
      <c r="F40" s="293"/>
      <c r="G40" s="273" t="s">
        <v>51</v>
      </c>
      <c r="H40" s="293"/>
      <c r="I40" s="273" t="s">
        <v>315</v>
      </c>
      <c r="J40" s="292"/>
    </row>
    <row r="41" spans="1:10" ht="78" customHeight="1">
      <c r="A41" s="252"/>
      <c r="B41" s="266"/>
      <c r="C41" s="277"/>
      <c r="D41" s="266"/>
      <c r="E41" s="277"/>
      <c r="F41" s="267"/>
      <c r="G41" s="277"/>
      <c r="H41" s="267"/>
      <c r="I41" s="277"/>
      <c r="J41" s="267"/>
    </row>
    <row r="42" spans="1:10" ht="8" customHeight="1">
      <c r="B42" s="266"/>
      <c r="C42" s="278"/>
      <c r="D42" s="266"/>
      <c r="E42" s="278"/>
      <c r="F42" s="267"/>
      <c r="G42" s="278"/>
      <c r="H42" s="267"/>
      <c r="I42" s="278"/>
      <c r="J42" s="279"/>
    </row>
    <row r="43" spans="1:10" ht="8.25" customHeight="1">
      <c r="B43" s="295"/>
      <c r="C43" s="295"/>
      <c r="D43" s="295"/>
      <c r="E43" s="295"/>
      <c r="F43" s="295"/>
      <c r="G43" s="295"/>
      <c r="H43" s="295"/>
      <c r="I43" s="295"/>
      <c r="J43" s="295"/>
    </row>
    <row r="44" spans="1:10" ht="10.5">
      <c r="C44" s="269">
        <f>I39+1</f>
        <v>25</v>
      </c>
      <c r="E44" s="269">
        <f>C44+1</f>
        <v>26</v>
      </c>
      <c r="G44" s="269">
        <f>E44+1</f>
        <v>27</v>
      </c>
      <c r="I44" s="269">
        <f>G44+1</f>
        <v>28</v>
      </c>
    </row>
    <row r="45" spans="1:10" ht="33" customHeight="1">
      <c r="C45" s="296" t="s">
        <v>318</v>
      </c>
      <c r="E45" s="296" t="s">
        <v>320</v>
      </c>
      <c r="G45" s="296" t="s">
        <v>336</v>
      </c>
      <c r="I45" s="296" t="s">
        <v>377</v>
      </c>
    </row>
    <row r="46" spans="1:10" ht="90" customHeight="1">
      <c r="C46" s="277"/>
      <c r="E46" s="277"/>
      <c r="G46" s="277"/>
      <c r="I46" s="277"/>
    </row>
    <row r="47" spans="1:10" ht="7.25" customHeight="1">
      <c r="C47" s="278"/>
      <c r="E47" s="278"/>
      <c r="G47" s="278"/>
      <c r="I47" s="278"/>
    </row>
  </sheetData>
  <phoneticPr fontId="67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B1:AK90"/>
  <sheetViews>
    <sheetView topLeftCell="A55" workbookViewId="0">
      <selection activeCell="Q26" sqref="Q26"/>
    </sheetView>
  </sheetViews>
  <sheetFormatPr defaultColWidth="8.81640625" defaultRowHeight="14.5"/>
  <cols>
    <col min="2" max="6" width="1.81640625" customWidth="1"/>
    <col min="7" max="7" width="37.36328125" customWidth="1"/>
    <col min="8" max="8" width="12.81640625" style="7" bestFit="1" customWidth="1"/>
    <col min="9" max="9" width="1.81640625" customWidth="1"/>
    <col min="10" max="10" width="12.81640625" style="7" bestFit="1" customWidth="1"/>
    <col min="11" max="11" width="1.81640625" customWidth="1"/>
    <col min="13" max="16" width="1.81640625" customWidth="1"/>
    <col min="17" max="17" width="53.81640625" customWidth="1"/>
    <col min="18" max="18" width="12.81640625" style="7" customWidth="1"/>
    <col min="19" max="19" width="1.81640625" customWidth="1"/>
    <col min="20" max="20" width="12.81640625" style="7" customWidth="1"/>
    <col min="21" max="21" width="1.81640625" customWidth="1"/>
    <col min="22" max="22" width="5.81640625" customWidth="1"/>
    <col min="23" max="26" width="1.81640625" customWidth="1"/>
    <col min="27" max="27" width="42.08984375" customWidth="1"/>
    <col min="28" max="28" width="18" style="7" bestFit="1" customWidth="1"/>
    <col min="29" max="29" width="1.81640625" customWidth="1"/>
    <col min="30" max="30" width="18" style="7" bestFit="1" customWidth="1"/>
  </cols>
  <sheetData>
    <row r="1" spans="2:30" ht="26">
      <c r="B1" s="5" t="str">
        <f>'1-Start'!C7</f>
        <v>American Captive Company</v>
      </c>
      <c r="M1" s="5">
        <f>'1-Start'!S7</f>
        <v>0</v>
      </c>
    </row>
    <row r="2" spans="2:30" ht="9" customHeight="1">
      <c r="V2" s="5"/>
    </row>
    <row r="3" spans="2:30" ht="26">
      <c r="B3" s="5" t="s">
        <v>179</v>
      </c>
      <c r="M3" s="5" t="s">
        <v>200</v>
      </c>
      <c r="W3" s="23" t="s">
        <v>120</v>
      </c>
    </row>
    <row r="4" spans="2:30" ht="6.75" customHeight="1">
      <c r="B4" s="43"/>
      <c r="C4" s="32"/>
      <c r="D4" s="32"/>
      <c r="E4" s="32"/>
      <c r="F4" s="32"/>
      <c r="G4" s="32"/>
      <c r="H4" s="25"/>
      <c r="I4" s="32"/>
      <c r="J4" s="25"/>
      <c r="K4" s="32"/>
      <c r="M4" s="43"/>
      <c r="N4" s="32"/>
      <c r="O4" s="32"/>
      <c r="P4" s="32"/>
      <c r="Q4" s="32"/>
      <c r="R4" s="25"/>
      <c r="S4" s="32"/>
      <c r="T4" s="25"/>
      <c r="U4" s="32"/>
      <c r="W4" s="32"/>
      <c r="X4" s="32"/>
      <c r="Y4" s="32"/>
      <c r="Z4" s="32"/>
      <c r="AA4" s="32"/>
      <c r="AB4" s="32"/>
      <c r="AC4" s="32"/>
      <c r="AD4" s="32"/>
    </row>
    <row r="5" spans="2:30" ht="17.25" customHeight="1">
      <c r="B5" s="5"/>
      <c r="M5" s="5"/>
      <c r="V5" s="5"/>
    </row>
    <row r="6" spans="2:30" ht="15" thickBot="1">
      <c r="H6" s="105"/>
      <c r="I6" s="106" t="s">
        <v>58</v>
      </c>
      <c r="J6" s="105"/>
      <c r="K6" s="107"/>
      <c r="R6" s="33"/>
      <c r="S6" s="30" t="s">
        <v>88</v>
      </c>
      <c r="T6" s="33"/>
      <c r="U6" s="34"/>
      <c r="AC6" s="24" t="s">
        <v>199</v>
      </c>
    </row>
    <row r="7" spans="2:30">
      <c r="B7" s="6" t="s">
        <v>180</v>
      </c>
      <c r="H7" s="8">
        <v>2017</v>
      </c>
      <c r="I7" s="8"/>
      <c r="J7" s="8">
        <v>2018</v>
      </c>
      <c r="K7" s="8"/>
      <c r="M7" s="6" t="s">
        <v>201</v>
      </c>
      <c r="R7" s="10">
        <f>'1-Start'!C11</f>
        <v>42735</v>
      </c>
      <c r="S7" s="8"/>
      <c r="T7" s="10">
        <f>'1-Start'!D11</f>
        <v>43100</v>
      </c>
      <c r="U7" s="8"/>
      <c r="V7" s="6"/>
      <c r="AB7" s="8">
        <f>H7</f>
        <v>2017</v>
      </c>
      <c r="AC7" s="8"/>
      <c r="AD7" s="8">
        <f>J7</f>
        <v>2018</v>
      </c>
    </row>
    <row r="8" spans="2:30">
      <c r="I8" s="109"/>
    </row>
    <row r="9" spans="2:30">
      <c r="C9" t="s">
        <v>86</v>
      </c>
      <c r="H9" s="310">
        <f>'2-Income Statement'!H7</f>
        <v>626250</v>
      </c>
      <c r="I9" s="109"/>
      <c r="J9" s="310">
        <f>'2-Income Statement'!J7</f>
        <v>645335</v>
      </c>
      <c r="N9" t="s">
        <v>281</v>
      </c>
      <c r="R9" s="310">
        <f>'3-Balance Sheet'!G7</f>
        <v>80759</v>
      </c>
      <c r="S9" s="7"/>
      <c r="T9" s="310">
        <f>'3-Balance Sheet'!I7</f>
        <v>134949</v>
      </c>
      <c r="W9" t="s">
        <v>212</v>
      </c>
      <c r="AB9" s="310">
        <f>'4-Additional Info'!G7</f>
        <v>100000</v>
      </c>
      <c r="AC9" s="7"/>
      <c r="AD9" s="310">
        <f>'4-Additional Info'!I7</f>
        <v>100000</v>
      </c>
    </row>
    <row r="10" spans="2:30">
      <c r="C10" s="62" t="s">
        <v>181</v>
      </c>
      <c r="D10" s="62"/>
      <c r="E10" s="62"/>
      <c r="F10" s="62"/>
      <c r="G10" s="62"/>
      <c r="H10" s="310">
        <f>'2-Income Statement'!H8</f>
        <v>544243</v>
      </c>
      <c r="I10" s="109"/>
      <c r="J10" s="310">
        <f>'2-Income Statement'!J8</f>
        <v>1195748</v>
      </c>
      <c r="N10" t="s">
        <v>165</v>
      </c>
      <c r="R10" s="310">
        <f>'3-Balance Sheet'!G8</f>
        <v>0</v>
      </c>
      <c r="S10" s="7"/>
      <c r="T10" s="310">
        <f>'3-Balance Sheet'!I8</f>
        <v>0</v>
      </c>
      <c r="W10" t="s">
        <v>213</v>
      </c>
      <c r="AB10" s="310">
        <f>'4-Additional Info'!G8</f>
        <v>1000000</v>
      </c>
      <c r="AC10" s="7"/>
      <c r="AD10" s="310">
        <f>'4-Additional Info'!I8</f>
        <v>1000000</v>
      </c>
    </row>
    <row r="11" spans="2:30">
      <c r="C11" s="108"/>
      <c r="D11" s="108"/>
      <c r="E11" s="108"/>
      <c r="F11" s="108"/>
      <c r="G11" s="108"/>
      <c r="H11" s="109"/>
      <c r="I11" s="109"/>
      <c r="J11" s="109"/>
      <c r="N11" s="62" t="s">
        <v>317</v>
      </c>
      <c r="O11" s="62"/>
      <c r="P11" s="62"/>
      <c r="Q11" s="62"/>
      <c r="R11" s="115">
        <f>'3-Balance Sheet'!G9</f>
        <v>0</v>
      </c>
      <c r="S11" s="7"/>
      <c r="T11" s="310">
        <f>'3-Balance Sheet'!I9</f>
        <v>0</v>
      </c>
      <c r="AB11" s="307"/>
      <c r="AC11" s="7"/>
      <c r="AD11" s="307"/>
    </row>
    <row r="12" spans="2:30">
      <c r="C12" s="108"/>
      <c r="D12" s="108"/>
      <c r="E12" s="108"/>
      <c r="F12" s="108"/>
      <c r="G12" s="108"/>
      <c r="H12" s="109"/>
      <c r="I12" s="109"/>
      <c r="J12" s="109"/>
      <c r="N12" s="108"/>
      <c r="O12" s="108"/>
      <c r="P12" s="108"/>
      <c r="Q12" s="108"/>
      <c r="R12" s="109"/>
      <c r="S12" s="7"/>
      <c r="T12" s="109"/>
      <c r="W12" s="62" t="s">
        <v>319</v>
      </c>
      <c r="X12" s="62"/>
      <c r="Y12" s="62"/>
      <c r="Z12" s="62"/>
      <c r="AA12" s="62"/>
      <c r="AB12" s="310">
        <f>'4-Additional Info'!G9</f>
        <v>57753</v>
      </c>
      <c r="AC12" s="7"/>
      <c r="AD12" s="310">
        <f>'4-Additional Info'!I9</f>
        <v>64890</v>
      </c>
    </row>
    <row r="13" spans="2:30">
      <c r="C13" s="108"/>
      <c r="D13" s="108"/>
      <c r="E13" s="108"/>
      <c r="F13" s="108"/>
      <c r="G13" s="108"/>
      <c r="H13" s="109"/>
      <c r="I13" s="109"/>
      <c r="J13" s="109"/>
      <c r="N13" s="108"/>
      <c r="O13" s="108"/>
      <c r="P13" s="108"/>
      <c r="Q13" s="108"/>
      <c r="S13" s="7"/>
      <c r="AB13" s="307"/>
      <c r="AC13" s="7"/>
      <c r="AD13" s="307"/>
    </row>
    <row r="14" spans="2:30">
      <c r="C14" t="s">
        <v>314</v>
      </c>
      <c r="H14" s="310">
        <f>'2-Income Statement'!H9</f>
        <v>0</v>
      </c>
      <c r="I14" s="109"/>
      <c r="J14" s="310">
        <f>'2-Income Statement'!J9</f>
        <v>0</v>
      </c>
      <c r="S14" s="7"/>
      <c r="W14" s="113" t="s">
        <v>321</v>
      </c>
      <c r="X14" s="113"/>
      <c r="Y14" s="113"/>
      <c r="Z14" s="113"/>
      <c r="AA14" s="113"/>
      <c r="AB14" s="110">
        <f>AD14-H25</f>
        <v>74943</v>
      </c>
      <c r="AC14" s="7"/>
      <c r="AD14" s="7">
        <f>R24</f>
        <v>132768</v>
      </c>
    </row>
    <row r="15" spans="2:30">
      <c r="C15" t="s">
        <v>110</v>
      </c>
      <c r="H15" s="310">
        <f>'2-Income Statement'!H10</f>
        <v>0</v>
      </c>
      <c r="I15" s="109"/>
      <c r="J15" s="310">
        <f>'2-Income Statement'!J10</f>
        <v>0</v>
      </c>
      <c r="N15" t="s">
        <v>202</v>
      </c>
      <c r="R15" s="310">
        <f>'3-Balance Sheet'!G10</f>
        <v>1000000</v>
      </c>
      <c r="S15" s="7"/>
      <c r="T15" s="310">
        <f>'3-Balance Sheet'!I10</f>
        <v>1725710</v>
      </c>
      <c r="W15" s="113" t="s">
        <v>322</v>
      </c>
      <c r="X15" s="113"/>
      <c r="Y15" s="113"/>
      <c r="Z15" s="113"/>
      <c r="AA15" s="113"/>
      <c r="AB15" s="310">
        <f>'4-Additional Info'!G11</f>
        <v>90000</v>
      </c>
      <c r="AC15" s="7"/>
      <c r="AD15" s="110">
        <f>AB14</f>
        <v>74943</v>
      </c>
    </row>
    <row r="16" spans="2:30">
      <c r="C16" t="s">
        <v>125</v>
      </c>
      <c r="H16" s="310">
        <f>'2-Income Statement'!H11</f>
        <v>0</v>
      </c>
      <c r="I16" s="109"/>
      <c r="J16" s="310">
        <f>'2-Income Statement'!J11</f>
        <v>0</v>
      </c>
      <c r="N16" t="s">
        <v>203</v>
      </c>
      <c r="R16" s="310">
        <f>'3-Balance Sheet'!G11</f>
        <v>5000</v>
      </c>
      <c r="S16" s="7"/>
      <c r="T16" s="310">
        <f>'3-Balance Sheet'!I11</f>
        <v>5000</v>
      </c>
      <c r="W16" s="113" t="s">
        <v>323</v>
      </c>
      <c r="X16" s="113"/>
      <c r="Y16" s="113"/>
      <c r="Z16" s="113"/>
      <c r="AA16" s="113"/>
      <c r="AB16" s="310">
        <f>'4-Additional Info'!G12</f>
        <v>600000</v>
      </c>
      <c r="AC16" s="7"/>
      <c r="AD16" s="7">
        <f>H19</f>
        <v>1170493</v>
      </c>
    </row>
    <row r="17" spans="2:37">
      <c r="I17" s="109"/>
      <c r="S17" s="7"/>
      <c r="W17" s="113" t="s">
        <v>324</v>
      </c>
      <c r="X17" s="113"/>
      <c r="Y17" s="113"/>
      <c r="Z17" s="113"/>
      <c r="AA17" s="113"/>
      <c r="AB17" s="310">
        <f>'4-Additional Info'!G13</f>
        <v>500000</v>
      </c>
      <c r="AC17" s="7"/>
      <c r="AD17" s="110">
        <f>AB16</f>
        <v>600000</v>
      </c>
    </row>
    <row r="18" spans="2:37">
      <c r="I18" s="109"/>
      <c r="S18" s="7"/>
      <c r="W18" s="113" t="s">
        <v>348</v>
      </c>
      <c r="X18" s="113"/>
      <c r="Y18" s="113"/>
      <c r="Z18" s="113"/>
      <c r="AA18" s="113"/>
      <c r="AB18" s="310">
        <f>'4-Additional Info'!G14</f>
        <v>150000</v>
      </c>
      <c r="AC18" s="7"/>
      <c r="AD18" s="7">
        <f>H27</f>
        <v>168430</v>
      </c>
    </row>
    <row r="19" spans="2:37">
      <c r="C19" t="s">
        <v>182</v>
      </c>
      <c r="H19" s="7">
        <f>SUM(H9:H16)</f>
        <v>1170493</v>
      </c>
      <c r="I19" s="109"/>
      <c r="J19" s="7">
        <f>SUM(J9:J16)</f>
        <v>1841083</v>
      </c>
      <c r="N19" t="s">
        <v>166</v>
      </c>
      <c r="R19" s="7">
        <f>SUM(R9:R16)</f>
        <v>1085759</v>
      </c>
      <c r="T19" s="7">
        <f>SUM(T9:T16)</f>
        <v>1865659</v>
      </c>
      <c r="W19" s="113" t="s">
        <v>351</v>
      </c>
      <c r="X19" s="113"/>
      <c r="Y19" s="113"/>
      <c r="Z19" s="113"/>
      <c r="AA19" s="113"/>
      <c r="AB19" s="310">
        <f>'4-Additional Info'!G15</f>
        <v>0</v>
      </c>
      <c r="AC19" s="7"/>
      <c r="AD19" s="7">
        <f>H57</f>
        <v>0</v>
      </c>
    </row>
    <row r="20" spans="2:37">
      <c r="I20" s="109"/>
      <c r="W20" s="113" t="s">
        <v>355</v>
      </c>
      <c r="X20" s="113"/>
      <c r="Y20" s="113"/>
      <c r="Z20" s="113"/>
      <c r="AA20" s="113"/>
      <c r="AB20" s="310">
        <f>'4-Additional Info'!G16</f>
        <v>60000</v>
      </c>
      <c r="AC20" s="7"/>
      <c r="AD20" s="7">
        <f>H39</f>
        <v>62860</v>
      </c>
    </row>
    <row r="21" spans="2:37">
      <c r="C21" s="113" t="s">
        <v>326</v>
      </c>
      <c r="D21" s="113"/>
      <c r="E21" s="113"/>
      <c r="F21" s="113"/>
      <c r="G21" s="113"/>
      <c r="H21" s="310">
        <f>'2-Income Statement'!H14</f>
        <v>0</v>
      </c>
      <c r="I21" s="109"/>
      <c r="J21" s="310">
        <f>'2-Income Statement'!J14</f>
        <v>0</v>
      </c>
      <c r="S21" s="7"/>
      <c r="W21" s="113" t="s">
        <v>357</v>
      </c>
      <c r="X21" s="113"/>
      <c r="Y21" s="113"/>
      <c r="Z21" s="113"/>
      <c r="AA21" s="113"/>
      <c r="AB21" s="310">
        <f>'4-Additional Info'!G17</f>
        <v>0</v>
      </c>
      <c r="AC21" s="7"/>
      <c r="AD21" s="7">
        <f>H51</f>
        <v>0</v>
      </c>
    </row>
    <row r="22" spans="2:37">
      <c r="B22" s="6" t="s">
        <v>183</v>
      </c>
      <c r="I22" s="109"/>
      <c r="M22" s="6" t="s">
        <v>204</v>
      </c>
      <c r="S22" s="7"/>
      <c r="W22" s="113" t="s">
        <v>360</v>
      </c>
      <c r="X22" s="113"/>
      <c r="Y22" s="113"/>
      <c r="Z22" s="113"/>
      <c r="AA22" s="113"/>
      <c r="AB22" s="310">
        <f>'4-Additional Info'!G18</f>
        <v>60000</v>
      </c>
      <c r="AC22" s="7"/>
      <c r="AD22" s="7">
        <f>H48</f>
        <v>69464</v>
      </c>
    </row>
    <row r="23" spans="2:37">
      <c r="I23" s="109"/>
      <c r="S23" s="7"/>
      <c r="AC23" s="7"/>
    </row>
    <row r="24" spans="2:37">
      <c r="C24" t="s">
        <v>184</v>
      </c>
      <c r="H24" s="310">
        <f>'2-Income Statement'!H17</f>
        <v>110605</v>
      </c>
      <c r="I24" s="109"/>
      <c r="J24" s="310">
        <f>'2-Income Statement'!J17</f>
        <v>112938</v>
      </c>
      <c r="N24" t="s">
        <v>205</v>
      </c>
      <c r="R24" s="310">
        <f>'3-Balance Sheet'!G17</f>
        <v>132768</v>
      </c>
      <c r="S24" s="7"/>
      <c r="T24" s="310">
        <f>'3-Balance Sheet'!I17</f>
        <v>249833</v>
      </c>
      <c r="AC24" s="7"/>
      <c r="AG24" s="62"/>
      <c r="AH24" s="62"/>
      <c r="AI24" s="62"/>
      <c r="AJ24" s="62"/>
      <c r="AK24" s="62"/>
    </row>
    <row r="25" spans="2:37">
      <c r="C25" t="s">
        <v>185</v>
      </c>
      <c r="H25" s="310">
        <f>'2-Income Statement'!H18</f>
        <v>57825</v>
      </c>
      <c r="I25" s="109"/>
      <c r="J25" s="310">
        <f>'2-Income Statement'!J18</f>
        <v>117065</v>
      </c>
      <c r="N25" t="s">
        <v>206</v>
      </c>
      <c r="R25" s="310">
        <f>'3-Balance Sheet'!G18</f>
        <v>408748</v>
      </c>
      <c r="S25" s="7"/>
      <c r="T25" s="310">
        <f>'3-Balance Sheet'!I18</f>
        <v>420078</v>
      </c>
      <c r="W25" t="s">
        <v>214</v>
      </c>
      <c r="AB25" s="310">
        <f>'4-Additional Info'!G19</f>
        <v>5000000</v>
      </c>
      <c r="AC25" s="7"/>
      <c r="AD25" s="310">
        <f>'4-Additional Info'!I19</f>
        <v>5000000</v>
      </c>
    </row>
    <row r="26" spans="2:37">
      <c r="I26" s="109"/>
      <c r="S26" s="7"/>
      <c r="W26" t="s">
        <v>14</v>
      </c>
      <c r="AB26" s="310">
        <f>'4-Additional Info'!G20</f>
        <v>10000000</v>
      </c>
      <c r="AC26" s="7"/>
      <c r="AD26" s="310">
        <f>'4-Additional Info'!I20</f>
        <v>10000000</v>
      </c>
    </row>
    <row r="27" spans="2:37">
      <c r="C27" t="s">
        <v>186</v>
      </c>
      <c r="H27" s="7">
        <f>H25+H24</f>
        <v>168430</v>
      </c>
      <c r="I27" s="109"/>
      <c r="J27" s="7">
        <f>J25+J24</f>
        <v>230003</v>
      </c>
      <c r="R27" s="109"/>
      <c r="S27" s="109"/>
      <c r="T27" s="109"/>
      <c r="AB27"/>
      <c r="AD27"/>
      <c r="AE27" s="62" t="s">
        <v>308</v>
      </c>
      <c r="AF27" s="62"/>
    </row>
    <row r="28" spans="2:37">
      <c r="I28" s="109"/>
      <c r="N28" t="s">
        <v>167</v>
      </c>
      <c r="R28" s="313">
        <f>R24+R25</f>
        <v>541516</v>
      </c>
      <c r="S28" s="109"/>
      <c r="T28" s="313">
        <f>T24+T25</f>
        <v>669911</v>
      </c>
      <c r="W28" t="s">
        <v>220</v>
      </c>
      <c r="AB28" s="55">
        <f>H9/AB26</f>
        <v>6.2625E-2</v>
      </c>
      <c r="AD28" s="55">
        <f>J9/AD26</f>
        <v>6.4533499999999994E-2</v>
      </c>
    </row>
    <row r="29" spans="2:37">
      <c r="C29" t="s">
        <v>164</v>
      </c>
      <c r="H29" s="7">
        <f>H19-H27</f>
        <v>1002063</v>
      </c>
      <c r="I29" s="109"/>
      <c r="J29" s="7">
        <f>J19-J27</f>
        <v>1611080</v>
      </c>
      <c r="R29" s="109"/>
      <c r="S29" s="109"/>
      <c r="T29" s="109"/>
      <c r="AB29" s="55"/>
      <c r="AD29" s="55"/>
    </row>
    <row r="30" spans="2:37">
      <c r="I30" s="109"/>
      <c r="M30" s="6" t="s">
        <v>169</v>
      </c>
      <c r="R30" s="314">
        <f>R19-R28</f>
        <v>544243</v>
      </c>
      <c r="S30" s="109"/>
      <c r="T30" s="313">
        <f>T19-T28</f>
        <v>1195748</v>
      </c>
      <c r="AB30"/>
      <c r="AD30"/>
    </row>
    <row r="31" spans="2:37">
      <c r="C31" t="s">
        <v>163</v>
      </c>
      <c r="I31" s="109"/>
      <c r="M31" s="6"/>
      <c r="R31" s="109"/>
      <c r="S31" s="109"/>
      <c r="T31" s="109"/>
      <c r="W31" t="s">
        <v>225</v>
      </c>
      <c r="AB31"/>
      <c r="AD31"/>
    </row>
    <row r="32" spans="2:37" ht="26">
      <c r="D32" t="s">
        <v>187</v>
      </c>
      <c r="H32" s="310">
        <f>'2-Income Statement'!H25</f>
        <v>57860</v>
      </c>
      <c r="I32" s="109"/>
      <c r="J32" s="310">
        <f>'2-Income Statement'!J25</f>
        <v>61958</v>
      </c>
      <c r="M32" s="23" t="s">
        <v>53</v>
      </c>
      <c r="Q32" s="5"/>
      <c r="R32"/>
      <c r="S32" s="7"/>
      <c r="T32"/>
      <c r="AB32"/>
      <c r="AD32"/>
    </row>
    <row r="33" spans="2:30" ht="15.75" customHeight="1">
      <c r="D33" t="s">
        <v>188</v>
      </c>
      <c r="H33" s="310">
        <f>'2-Income Statement'!H26</f>
        <v>0</v>
      </c>
      <c r="I33" s="109"/>
      <c r="J33" s="310">
        <f>'2-Income Statement'!J26</f>
        <v>0</v>
      </c>
      <c r="M33" s="5"/>
      <c r="X33" t="str">
        <f>"Enter loss retention used for the "&amp;'1-Start'!C13&amp;"  loss projection"</f>
        <v>Enter loss retention used for the 2019  loss projection</v>
      </c>
      <c r="AB33"/>
      <c r="AD33" s="70">
        <f>retention_5years</f>
        <v>250000</v>
      </c>
    </row>
    <row r="34" spans="2:30" ht="15" thickBot="1">
      <c r="D34" t="s">
        <v>189</v>
      </c>
      <c r="H34" s="310">
        <f>'2-Income Statement'!H27</f>
        <v>0</v>
      </c>
      <c r="I34" s="109"/>
      <c r="J34" s="310">
        <f>'2-Income Statement'!J27</f>
        <v>0</v>
      </c>
      <c r="R34" s="33"/>
      <c r="S34" s="30" t="s">
        <v>208</v>
      </c>
      <c r="T34" s="33"/>
      <c r="U34" s="34"/>
      <c r="X34" s="62" t="str">
        <f>"Enter expected loss projection under the unlimited loss retetnion for  "&amp;'1-Start'!C13</f>
        <v>Enter expected loss projection under the unlimited loss retetnion for  2019</v>
      </c>
      <c r="Y34" s="62"/>
      <c r="Z34" s="62"/>
      <c r="AA34" s="62"/>
      <c r="AB34" s="62"/>
      <c r="AD34" s="70">
        <v>140000</v>
      </c>
    </row>
    <row r="35" spans="2:30">
      <c r="D35" t="s">
        <v>190</v>
      </c>
      <c r="H35" s="310">
        <f>'2-Income Statement'!H28</f>
        <v>0</v>
      </c>
      <c r="I35" s="109"/>
      <c r="J35" s="310">
        <f>'2-Income Statement'!J28</f>
        <v>0</v>
      </c>
      <c r="M35" s="22" t="s">
        <v>74</v>
      </c>
      <c r="R35" s="10">
        <f>R7</f>
        <v>42735</v>
      </c>
      <c r="S35" s="8"/>
      <c r="T35" s="10">
        <f>T7</f>
        <v>43100</v>
      </c>
      <c r="U35" s="8"/>
      <c r="X35" s="62" t="str">
        <f>"Enter projected standard devaition of loss under the unlimited loss retetnion for  "&amp;'1-Start'!C13</f>
        <v>Enter projected standard devaition of loss under the unlimited loss retetnion for  2019</v>
      </c>
      <c r="Y35" s="62"/>
      <c r="Z35" s="62"/>
      <c r="AA35" s="62"/>
      <c r="AB35" s="62"/>
      <c r="AD35" s="70">
        <f>AD34*0.3</f>
        <v>42000</v>
      </c>
    </row>
    <row r="36" spans="2:30">
      <c r="D36" t="s">
        <v>111</v>
      </c>
      <c r="H36" s="310">
        <f>'2-Income Statement'!H29</f>
        <v>5000</v>
      </c>
      <c r="I36" s="109"/>
      <c r="J36" s="310">
        <f>'2-Income Statement'!J29</f>
        <v>5000</v>
      </c>
      <c r="R36"/>
      <c r="T36"/>
    </row>
    <row r="37" spans="2:30">
      <c r="D37" t="s">
        <v>191</v>
      </c>
      <c r="H37" s="310">
        <f>'2-Income Statement'!H30</f>
        <v>0</v>
      </c>
      <c r="I37" s="109"/>
      <c r="J37" s="310">
        <f>'2-Income Statement'!J30</f>
        <v>0</v>
      </c>
      <c r="L37">
        <v>1</v>
      </c>
      <c r="M37" t="s">
        <v>115</v>
      </c>
      <c r="R37" s="55">
        <f>ROUND(H9/R30,2)</f>
        <v>1.1499999999999999</v>
      </c>
      <c r="T37" s="55">
        <f>ROUND(J9/T30,2)</f>
        <v>0.54</v>
      </c>
    </row>
    <row r="38" spans="2:30">
      <c r="I38" s="109"/>
      <c r="L38">
        <v>2</v>
      </c>
      <c r="M38" t="s">
        <v>116</v>
      </c>
      <c r="R38" s="55">
        <f>H19/R30</f>
        <v>2.1506808539567803</v>
      </c>
      <c r="T38" s="55">
        <f>J19/T30</f>
        <v>1.539691473454273</v>
      </c>
    </row>
    <row r="39" spans="2:30">
      <c r="D39" t="s">
        <v>192</v>
      </c>
      <c r="H39" s="7">
        <f>SUM(H32:H37)</f>
        <v>62860</v>
      </c>
      <c r="I39" s="109"/>
      <c r="J39" s="7">
        <f>SUM(J32:J37)</f>
        <v>66958</v>
      </c>
      <c r="M39" t="s">
        <v>242</v>
      </c>
      <c r="R39" s="55">
        <f>AB9/R30</f>
        <v>0.18374145372563358</v>
      </c>
      <c r="T39" s="55">
        <f>AD9/T30</f>
        <v>8.3629661099161368E-2</v>
      </c>
    </row>
    <row r="40" spans="2:30">
      <c r="I40" s="109"/>
      <c r="M40" t="s">
        <v>48</v>
      </c>
      <c r="R40" s="55">
        <f>H24/(R9+R10)</f>
        <v>1.369568716799366</v>
      </c>
      <c r="T40" s="55">
        <f>J24/(T9+T10)</f>
        <v>0.83689393770980147</v>
      </c>
    </row>
    <row r="41" spans="2:30">
      <c r="C41" t="s">
        <v>193</v>
      </c>
      <c r="H41" s="7">
        <f>H29-H39</f>
        <v>939203</v>
      </c>
      <c r="I41" s="109"/>
      <c r="J41" s="7">
        <f>J29-J39</f>
        <v>1544122</v>
      </c>
      <c r="L41">
        <v>3</v>
      </c>
      <c r="M41" t="s">
        <v>207</v>
      </c>
      <c r="R41" s="56"/>
      <c r="T41" s="111">
        <f>(J19-H19)/H19</f>
        <v>0.57291243945927062</v>
      </c>
      <c r="AB41"/>
      <c r="AD41"/>
    </row>
    <row r="42" spans="2:30">
      <c r="I42" s="109"/>
      <c r="L42" s="4">
        <v>7</v>
      </c>
      <c r="M42" t="s">
        <v>118</v>
      </c>
      <c r="R42" s="56"/>
      <c r="T42" s="111">
        <f>(T30-R30)/R30</f>
        <v>1.1970847580951891</v>
      </c>
    </row>
    <row r="43" spans="2:30">
      <c r="I43" s="109"/>
      <c r="L43">
        <v>8</v>
      </c>
      <c r="M43" s="157" t="s">
        <v>364</v>
      </c>
      <c r="R43" s="56"/>
      <c r="T43" s="151">
        <f>T42</f>
        <v>1.1970847580951891</v>
      </c>
      <c r="AB43"/>
      <c r="AD43"/>
    </row>
    <row r="44" spans="2:30">
      <c r="B44" s="6" t="s">
        <v>168</v>
      </c>
      <c r="I44" s="109"/>
      <c r="L44">
        <v>11</v>
      </c>
      <c r="M44" t="s">
        <v>119</v>
      </c>
      <c r="R44" s="56"/>
      <c r="T44" s="111">
        <f>(T24-R24)/R30</f>
        <v>0.21509693280391295</v>
      </c>
      <c r="AB44"/>
      <c r="AD44"/>
    </row>
    <row r="45" spans="2:30">
      <c r="C45" t="s">
        <v>279</v>
      </c>
      <c r="H45" s="308">
        <f>'2-Income Statement'!H38</f>
        <v>69464</v>
      </c>
      <c r="I45" s="109"/>
      <c r="J45" s="310">
        <f>'2-Income Statement'!J38</f>
        <v>103130</v>
      </c>
      <c r="L45">
        <v>6</v>
      </c>
      <c r="M45" t="s">
        <v>123</v>
      </c>
      <c r="R45" s="55">
        <f>(H45)/R30</f>
        <v>0.12763416341597411</v>
      </c>
      <c r="T45" s="55">
        <f>(J45)/T30</f>
        <v>8.6247269491565109E-2</v>
      </c>
      <c r="AB45"/>
      <c r="AD45"/>
    </row>
    <row r="46" spans="2:30">
      <c r="C46" t="s">
        <v>194</v>
      </c>
      <c r="H46" s="310">
        <f>'2-Income Statement'!H39</f>
        <v>0</v>
      </c>
      <c r="I46" s="109"/>
      <c r="J46" s="310">
        <f>'2-Income Statement'!J39</f>
        <v>0</v>
      </c>
      <c r="M46" t="s">
        <v>124</v>
      </c>
      <c r="R46" s="55">
        <f>H46/R30</f>
        <v>0</v>
      </c>
      <c r="T46" s="55">
        <f>J46/T30</f>
        <v>0</v>
      </c>
    </row>
    <row r="47" spans="2:30">
      <c r="I47" s="109"/>
      <c r="M47" t="s">
        <v>127</v>
      </c>
      <c r="R47" s="55">
        <f>(T24-R24)/R30</f>
        <v>0.21509693280391295</v>
      </c>
      <c r="T47" s="56"/>
      <c r="AB47"/>
      <c r="AD47"/>
    </row>
    <row r="48" spans="2:30">
      <c r="C48" t="s">
        <v>195</v>
      </c>
      <c r="H48" s="7">
        <f>H45+H46</f>
        <v>69464</v>
      </c>
      <c r="I48" s="109"/>
      <c r="J48" s="7">
        <f>J45+J46</f>
        <v>103130</v>
      </c>
      <c r="L48">
        <v>9</v>
      </c>
      <c r="M48" t="s">
        <v>128</v>
      </c>
      <c r="R48" s="55">
        <f>R28/(R9+R10)</f>
        <v>6.7053331517230275</v>
      </c>
      <c r="T48" s="55">
        <f>T28/(T9+T10)</f>
        <v>4.9641790602375711</v>
      </c>
      <c r="AB48"/>
      <c r="AD48"/>
    </row>
    <row r="49" spans="2:30">
      <c r="I49" s="109"/>
      <c r="M49" t="s">
        <v>73</v>
      </c>
      <c r="R49" s="55">
        <f>H27/H19</f>
        <v>0.14389663159027863</v>
      </c>
      <c r="T49" s="55">
        <f>J27/J19</f>
        <v>0.12492809938498156</v>
      </c>
      <c r="AB49"/>
      <c r="AD49"/>
    </row>
    <row r="50" spans="2:30">
      <c r="B50" s="6" t="s">
        <v>347</v>
      </c>
      <c r="I50" s="109"/>
      <c r="M50" t="s">
        <v>132</v>
      </c>
      <c r="R50" s="55">
        <f>H39/H19</f>
        <v>5.3703866661312799E-2</v>
      </c>
      <c r="T50" s="55">
        <f>J39/J19</f>
        <v>3.6368811183417588E-2</v>
      </c>
      <c r="AB50"/>
      <c r="AD50"/>
    </row>
    <row r="51" spans="2:30">
      <c r="C51" t="s">
        <v>347</v>
      </c>
      <c r="H51" s="310">
        <f>'2-Income Statement'!H44</f>
        <v>0</v>
      </c>
      <c r="I51" s="109"/>
      <c r="J51" s="310">
        <f>'2-Income Statement'!J44</f>
        <v>0</v>
      </c>
      <c r="M51" t="s">
        <v>134</v>
      </c>
      <c r="R51" s="55">
        <f>H57/H19</f>
        <v>0</v>
      </c>
      <c r="T51" s="55">
        <f>J57/J19</f>
        <v>0</v>
      </c>
      <c r="AB51"/>
      <c r="AD51"/>
    </row>
    <row r="52" spans="2:30">
      <c r="I52" s="109"/>
      <c r="M52" t="s">
        <v>135</v>
      </c>
      <c r="R52" s="55">
        <f>SUM(R49:R51)</f>
        <v>0.19760049825159143</v>
      </c>
      <c r="T52" s="55">
        <f>SUM(T49:T51)</f>
        <v>0.16129691056839915</v>
      </c>
      <c r="AB52"/>
      <c r="AD52"/>
    </row>
    <row r="53" spans="2:30">
      <c r="I53" s="109"/>
      <c r="M53" t="s">
        <v>47</v>
      </c>
      <c r="R53" s="55">
        <f>H48/H19</f>
        <v>5.9345933721944515E-2</v>
      </c>
      <c r="T53" s="55">
        <f>J48/J19</f>
        <v>5.6015942790194687E-2</v>
      </c>
      <c r="AB53"/>
      <c r="AD53"/>
    </row>
    <row r="54" spans="2:30">
      <c r="I54" s="109"/>
      <c r="M54" t="s">
        <v>114</v>
      </c>
      <c r="R54" s="55">
        <f>R52-R53</f>
        <v>0.13825456452964691</v>
      </c>
      <c r="T54" s="55">
        <f>T52-T53</f>
        <v>0.10528096777820446</v>
      </c>
    </row>
    <row r="55" spans="2:30">
      <c r="B55" s="6" t="s">
        <v>112</v>
      </c>
      <c r="H55" s="7">
        <f>H48+H41+H51</f>
        <v>1008667</v>
      </c>
      <c r="I55" s="109"/>
      <c r="J55" s="7">
        <f>J48+J41+J51</f>
        <v>1647252</v>
      </c>
      <c r="L55" s="113">
        <v>5</v>
      </c>
      <c r="M55" s="162" t="s">
        <v>362</v>
      </c>
      <c r="N55" s="113"/>
      <c r="O55" s="113"/>
      <c r="P55" s="113"/>
      <c r="Q55" s="113"/>
      <c r="R55" s="3">
        <f>R87</f>
        <v>0.17612382539778468</v>
      </c>
      <c r="T55" s="3">
        <f>T87</f>
        <v>0.1180966377737105</v>
      </c>
    </row>
    <row r="56" spans="2:30">
      <c r="B56" s="6"/>
      <c r="I56" s="109"/>
      <c r="M56" t="s">
        <v>38</v>
      </c>
      <c r="R56" s="55">
        <f>R19/R28</f>
        <v>2.0050358622829241</v>
      </c>
      <c r="T56" s="55">
        <f>T19/T28</f>
        <v>2.7849356108497996</v>
      </c>
    </row>
    <row r="57" spans="2:30">
      <c r="B57" s="6" t="s">
        <v>196</v>
      </c>
      <c r="H57" s="310">
        <f>'2-Income Statement'!H50</f>
        <v>0</v>
      </c>
      <c r="I57" s="109"/>
      <c r="J57" s="310">
        <f>'2-Income Statement'!J50</f>
        <v>0</v>
      </c>
      <c r="M57" t="s">
        <v>39</v>
      </c>
      <c r="R57" s="7">
        <f>H19-H27-H39-H57</f>
        <v>939203</v>
      </c>
      <c r="T57" s="7">
        <f>J19-J27-J39-J57</f>
        <v>1544122</v>
      </c>
    </row>
    <row r="58" spans="2:30">
      <c r="B58" s="6"/>
      <c r="I58" s="109"/>
      <c r="M58" t="s">
        <v>44</v>
      </c>
      <c r="R58" s="7">
        <f>R57-H59</f>
        <v>939203</v>
      </c>
      <c r="T58" s="7">
        <f>T57-J59</f>
        <v>1544122</v>
      </c>
    </row>
    <row r="59" spans="2:30">
      <c r="B59" s="6" t="s">
        <v>113</v>
      </c>
      <c r="H59" s="310">
        <f>'2-Income Statement'!H52</f>
        <v>0</v>
      </c>
      <c r="I59" s="109"/>
      <c r="J59" s="310">
        <f>'2-Income Statement'!J52</f>
        <v>0</v>
      </c>
      <c r="M59" t="s">
        <v>51</v>
      </c>
      <c r="R59" s="55">
        <f>H61/H19</f>
        <v>0.86174543547035309</v>
      </c>
      <c r="T59" s="55">
        <f>J61/J19</f>
        <v>0.8947190322217955</v>
      </c>
    </row>
    <row r="60" spans="2:30">
      <c r="B60" s="6"/>
      <c r="I60" s="109"/>
      <c r="L60" s="113">
        <v>4</v>
      </c>
      <c r="M60" s="162" t="s">
        <v>315</v>
      </c>
      <c r="N60" s="113"/>
      <c r="O60" s="113"/>
      <c r="P60" s="113"/>
      <c r="Q60" s="113"/>
      <c r="R60" s="55">
        <f>IF(OR(H10&lt;=0,H69="/0",H69&lt;=0),0,IF(AND(H69&gt;0,R30&lt;=0),999,H14/H10*H21/R30))</f>
        <v>0</v>
      </c>
      <c r="T60" s="55">
        <f>IF(OR(J10&lt;=0,J69="/0",J69&lt;=0),0,IF(AND(J69&gt;0,T30&lt;=0),999,J14/J10*J21/T30))</f>
        <v>0</v>
      </c>
    </row>
    <row r="61" spans="2:30">
      <c r="B61" s="6" t="s">
        <v>162</v>
      </c>
      <c r="H61" s="7">
        <f>H55-H57-H59</f>
        <v>1008667</v>
      </c>
      <c r="I61" s="109"/>
      <c r="J61" s="7">
        <f>J55-J57-J59</f>
        <v>1647252</v>
      </c>
      <c r="K61" s="32"/>
      <c r="L61" s="113">
        <v>10</v>
      </c>
      <c r="M61" s="162" t="s">
        <v>318</v>
      </c>
      <c r="N61" s="113"/>
      <c r="O61" s="113"/>
      <c r="P61" s="113"/>
      <c r="Q61" s="113"/>
      <c r="R61" s="55">
        <f>R11/R30</f>
        <v>0</v>
      </c>
      <c r="T61" s="55">
        <f>T11/T30</f>
        <v>0</v>
      </c>
    </row>
    <row r="62" spans="2:30">
      <c r="B62" s="6"/>
      <c r="L62" s="113">
        <v>12</v>
      </c>
      <c r="M62" s="162" t="s">
        <v>320</v>
      </c>
      <c r="N62" s="113"/>
      <c r="O62" s="113"/>
      <c r="P62" s="113"/>
      <c r="Q62" s="113"/>
      <c r="R62" s="55">
        <f>AB12/R30</f>
        <v>0.10611620177016516</v>
      </c>
      <c r="T62" s="55">
        <f>AD12/T30</f>
        <v>5.4267287087245805E-2</v>
      </c>
      <c r="U62" s="32"/>
    </row>
    <row r="63" spans="2:30">
      <c r="B63" s="6"/>
      <c r="L63" s="113">
        <v>13</v>
      </c>
      <c r="M63" s="162" t="s">
        <v>336</v>
      </c>
      <c r="N63" s="113"/>
      <c r="O63" s="113"/>
      <c r="P63" s="113"/>
      <c r="Q63" s="113"/>
      <c r="R63" s="20">
        <f>R74/R30</f>
        <v>0.31177102461400513</v>
      </c>
      <c r="T63" s="55">
        <f>T74/T30</f>
        <v>0.13479973709026818</v>
      </c>
    </row>
    <row r="64" spans="2:30">
      <c r="B64" s="6"/>
      <c r="M64" s="32"/>
      <c r="N64" s="32"/>
      <c r="O64" s="32"/>
      <c r="P64" s="32"/>
      <c r="Q64" s="32"/>
      <c r="R64" s="25"/>
      <c r="S64" s="32"/>
      <c r="T64" s="25"/>
    </row>
    <row r="65" spans="2:20">
      <c r="C65" s="32"/>
      <c r="D65" s="32"/>
      <c r="E65" s="32"/>
      <c r="F65" s="32"/>
      <c r="G65" s="32"/>
      <c r="H65" s="25"/>
      <c r="I65" s="32"/>
      <c r="J65" s="25"/>
      <c r="Q65" t="s">
        <v>312</v>
      </c>
    </row>
    <row r="66" spans="2:20">
      <c r="B66" s="32"/>
      <c r="L66">
        <v>13</v>
      </c>
      <c r="M66" s="102" t="s">
        <v>313</v>
      </c>
    </row>
    <row r="68" spans="2:20">
      <c r="L68" t="s">
        <v>329</v>
      </c>
      <c r="R68" s="7">
        <f>AB14+H25</f>
        <v>132768</v>
      </c>
      <c r="T68" s="7">
        <f>AD14+J25</f>
        <v>249833</v>
      </c>
    </row>
    <row r="69" spans="2:20">
      <c r="H69" s="103">
        <f>IF(H10=0,"/0", H14/H10*H21)</f>
        <v>0</v>
      </c>
      <c r="J69" s="103">
        <f>IF(J10=0,"/0", J14/J10*J21)</f>
        <v>0</v>
      </c>
      <c r="L69" t="s">
        <v>330</v>
      </c>
      <c r="R69" s="7">
        <f>AB15+AB12</f>
        <v>147753</v>
      </c>
      <c r="T69" s="7">
        <f>AD15+AD12</f>
        <v>139833</v>
      </c>
    </row>
    <row r="70" spans="2:20">
      <c r="B70" t="s">
        <v>316</v>
      </c>
      <c r="L70" t="s">
        <v>331</v>
      </c>
      <c r="R70" s="20">
        <f>R69/AB17</f>
        <v>0.29550599999999999</v>
      </c>
      <c r="T70" s="20">
        <f>T69/AD17</f>
        <v>0.23305500000000001</v>
      </c>
    </row>
    <row r="71" spans="2:20">
      <c r="L71" t="s">
        <v>332</v>
      </c>
      <c r="R71" s="20">
        <f>R68/AB16</f>
        <v>0.22128</v>
      </c>
      <c r="T71" s="20">
        <f>T68/AD16</f>
        <v>0.21344254087807446</v>
      </c>
    </row>
    <row r="72" spans="2:20">
      <c r="L72" s="116" t="s">
        <v>333</v>
      </c>
      <c r="R72" s="3">
        <f>AVERAGE(R70,R71)</f>
        <v>0.25839299999999998</v>
      </c>
      <c r="T72" s="3">
        <f>AVERAGE(T70,T71)</f>
        <v>0.22324877043903724</v>
      </c>
    </row>
    <row r="73" spans="2:20">
      <c r="L73" s="116" t="s">
        <v>334</v>
      </c>
      <c r="R73" s="118">
        <f>H19*R72</f>
        <v>302447.19774899998</v>
      </c>
      <c r="T73" s="118">
        <f>J19*T72</f>
        <v>411019.516026214</v>
      </c>
    </row>
    <row r="74" spans="2:20">
      <c r="L74" t="s">
        <v>335</v>
      </c>
      <c r="R74" s="7">
        <f>R73-R24</f>
        <v>169679.19774899998</v>
      </c>
      <c r="T74" s="7">
        <f>T73-T24</f>
        <v>161186.516026214</v>
      </c>
    </row>
    <row r="78" spans="2:20">
      <c r="L78" s="136" t="s">
        <v>349</v>
      </c>
      <c r="M78" s="137"/>
      <c r="N78" s="137"/>
      <c r="O78" s="137"/>
      <c r="P78" s="137"/>
      <c r="Q78" s="137"/>
      <c r="R78" s="138"/>
      <c r="S78" s="137"/>
      <c r="T78" s="139"/>
    </row>
    <row r="79" spans="2:20">
      <c r="L79" s="140" t="s">
        <v>350</v>
      </c>
      <c r="M79" s="104"/>
      <c r="N79" s="104"/>
      <c r="O79" s="104"/>
      <c r="P79" s="104"/>
      <c r="Q79" s="104"/>
      <c r="R79" s="141">
        <f>H27+AB18+H57+AB19</f>
        <v>318430</v>
      </c>
      <c r="S79" s="104"/>
      <c r="T79" s="142">
        <f>J27+AD18+J57+AD19</f>
        <v>398433</v>
      </c>
    </row>
    <row r="80" spans="2:20">
      <c r="L80" s="140" t="s">
        <v>352</v>
      </c>
      <c r="M80" s="104"/>
      <c r="N80" s="104"/>
      <c r="O80" s="104"/>
      <c r="P80" s="104"/>
      <c r="Q80" s="104"/>
      <c r="R80" s="141">
        <f>H19+AB16</f>
        <v>1770493</v>
      </c>
      <c r="S80" s="104"/>
      <c r="T80" s="142">
        <f>J19+AD16</f>
        <v>3011576</v>
      </c>
    </row>
    <row r="81" spans="12:20">
      <c r="L81" s="140" t="s">
        <v>353</v>
      </c>
      <c r="M81" s="104"/>
      <c r="N81" s="104"/>
      <c r="O81" s="104"/>
      <c r="P81" s="104"/>
      <c r="Q81" s="104"/>
      <c r="R81" s="147">
        <f>R79/R80</f>
        <v>0.17985385991359468</v>
      </c>
      <c r="S81" s="104"/>
      <c r="T81" s="149">
        <f>T79/T80</f>
        <v>0.13230049648423284</v>
      </c>
    </row>
    <row r="82" spans="12:20">
      <c r="L82" s="140" t="s">
        <v>354</v>
      </c>
      <c r="M82" s="104"/>
      <c r="N82" s="104"/>
      <c r="O82" s="104"/>
      <c r="P82" s="104"/>
      <c r="Q82" s="104"/>
      <c r="R82" s="141">
        <f>H39+AB20-H51-AB21</f>
        <v>122860</v>
      </c>
      <c r="S82" s="104"/>
      <c r="T82" s="142">
        <f>J39+AD20-J51-AD21</f>
        <v>129818</v>
      </c>
    </row>
    <row r="83" spans="12:20">
      <c r="L83" s="140" t="s">
        <v>356</v>
      </c>
      <c r="M83" s="104"/>
      <c r="N83" s="104"/>
      <c r="O83" s="104"/>
      <c r="P83" s="104"/>
      <c r="Q83" s="104"/>
      <c r="R83" s="141">
        <f>H19+AB16</f>
        <v>1770493</v>
      </c>
      <c r="S83" s="104"/>
      <c r="T83" s="142">
        <f>J19+AD16</f>
        <v>3011576</v>
      </c>
    </row>
    <row r="84" spans="12:20">
      <c r="L84" s="140" t="s">
        <v>358</v>
      </c>
      <c r="M84" s="104"/>
      <c r="N84" s="104"/>
      <c r="O84" s="104"/>
      <c r="P84" s="104"/>
      <c r="Q84" s="104"/>
      <c r="R84" s="147">
        <f>R82/R83</f>
        <v>6.9393101243551941E-2</v>
      </c>
      <c r="S84" s="104"/>
      <c r="T84" s="149">
        <f>T82/T83</f>
        <v>4.3106333693720494E-2</v>
      </c>
    </row>
    <row r="85" spans="12:20">
      <c r="L85" s="140" t="s">
        <v>359</v>
      </c>
      <c r="M85" s="104"/>
      <c r="N85" s="104"/>
      <c r="O85" s="104"/>
      <c r="P85" s="104"/>
      <c r="Q85" s="104"/>
      <c r="R85" s="141">
        <f>H48+AB22</f>
        <v>129464</v>
      </c>
      <c r="S85" s="104"/>
      <c r="T85" s="142">
        <f>J48+AD22</f>
        <v>172594</v>
      </c>
    </row>
    <row r="86" spans="12:20">
      <c r="L86" s="140" t="s">
        <v>361</v>
      </c>
      <c r="M86" s="104"/>
      <c r="N86" s="104"/>
      <c r="O86" s="104"/>
      <c r="P86" s="104"/>
      <c r="Q86" s="104"/>
      <c r="R86" s="147">
        <f>R85/R80</f>
        <v>7.312313575936194E-2</v>
      </c>
      <c r="S86" s="104"/>
      <c r="T86" s="149">
        <f>T85/T80</f>
        <v>5.731019240424283E-2</v>
      </c>
    </row>
    <row r="87" spans="12:20">
      <c r="L87" s="140"/>
      <c r="M87" s="104"/>
      <c r="N87" s="104"/>
      <c r="O87" s="104"/>
      <c r="P87" s="104"/>
      <c r="Q87" s="104"/>
      <c r="R87" s="148">
        <f>R81+R84-R86</f>
        <v>0.17612382539778468</v>
      </c>
      <c r="S87" s="104"/>
      <c r="T87" s="150">
        <f>T81+T84-T86</f>
        <v>0.1180966377737105</v>
      </c>
    </row>
    <row r="88" spans="12:20">
      <c r="L88" s="140"/>
      <c r="M88" s="104"/>
      <c r="N88" s="104"/>
      <c r="O88" s="104"/>
      <c r="P88" s="104"/>
      <c r="Q88" s="104"/>
      <c r="R88" s="141"/>
      <c r="S88" s="104"/>
      <c r="T88" s="142"/>
    </row>
    <row r="89" spans="12:20">
      <c r="L89" s="140"/>
      <c r="M89" s="104"/>
      <c r="N89" s="104"/>
      <c r="O89" s="104"/>
      <c r="P89" s="104"/>
      <c r="Q89" s="104"/>
      <c r="R89" s="141"/>
      <c r="S89" s="104"/>
      <c r="T89" s="142"/>
    </row>
    <row r="90" spans="12:20">
      <c r="L90" s="143"/>
      <c r="M90" s="144"/>
      <c r="N90" s="144"/>
      <c r="O90" s="144"/>
      <c r="P90" s="144"/>
      <c r="Q90" s="144"/>
      <c r="R90" s="145"/>
      <c r="S90" s="144"/>
      <c r="T90" s="146"/>
    </row>
  </sheetData>
  <phoneticPr fontId="26" type="noConversion"/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B2:AV89"/>
  <sheetViews>
    <sheetView workbookViewId="0">
      <selection activeCell="Q26" sqref="Q26"/>
    </sheetView>
  </sheetViews>
  <sheetFormatPr defaultColWidth="8.81640625" defaultRowHeight="14.5"/>
  <cols>
    <col min="2" max="6" width="1.81640625" customWidth="1"/>
    <col min="7" max="7" width="23.81640625" customWidth="1"/>
    <col min="8" max="8" width="11.36328125" customWidth="1"/>
    <col min="9" max="9" width="13.81640625" style="7" bestFit="1" customWidth="1"/>
    <col min="10" max="10" width="1.81640625" customWidth="1"/>
    <col min="11" max="11" width="13.81640625" style="7" bestFit="1" customWidth="1"/>
    <col min="12" max="12" width="1.81640625" customWidth="1"/>
    <col min="13" max="13" width="13.81640625" style="7" bestFit="1" customWidth="1"/>
    <col min="14" max="14" width="1.81640625" customWidth="1"/>
    <col min="15" max="15" width="13.81640625" style="7" bestFit="1" customWidth="1"/>
    <col min="16" max="16" width="1.81640625" customWidth="1"/>
    <col min="17" max="17" width="14" style="7" customWidth="1"/>
    <col min="18" max="18" width="11" customWidth="1"/>
    <col min="19" max="23" width="1.81640625" customWidth="1"/>
    <col min="24" max="24" width="54" customWidth="1"/>
    <col min="25" max="25" width="14.36328125" style="7" customWidth="1"/>
    <col min="26" max="26" width="1.81640625" customWidth="1"/>
    <col min="27" max="27" width="14.81640625" style="7" bestFit="1" customWidth="1"/>
    <col min="28" max="28" width="1.81640625" customWidth="1"/>
    <col min="29" max="29" width="14.81640625" style="7" bestFit="1" customWidth="1"/>
    <col min="30" max="30" width="1.81640625" customWidth="1"/>
    <col min="31" max="31" width="14.81640625" style="7" bestFit="1" customWidth="1"/>
    <col min="32" max="32" width="1.81640625" customWidth="1"/>
    <col min="33" max="33" width="14.81640625" style="7" bestFit="1" customWidth="1"/>
    <col min="34" max="34" width="10" customWidth="1"/>
    <col min="35" max="38" width="2" customWidth="1"/>
    <col min="39" max="39" width="32.08984375" customWidth="1"/>
    <col min="40" max="40" width="11.36328125" customWidth="1"/>
    <col min="41" max="41" width="1.81640625" customWidth="1"/>
    <col min="42" max="42" width="11.36328125" customWidth="1"/>
    <col min="43" max="43" width="1.81640625" customWidth="1"/>
    <col min="44" max="44" width="11.36328125" customWidth="1"/>
    <col min="45" max="45" width="1.81640625" customWidth="1"/>
    <col min="46" max="46" width="11.36328125" customWidth="1"/>
    <col min="47" max="47" width="1.81640625" customWidth="1"/>
    <col min="48" max="48" width="11.36328125" customWidth="1"/>
  </cols>
  <sheetData>
    <row r="2" spans="2:48" ht="26">
      <c r="B2" s="5" t="str">
        <f>'1-Start'!$C$7</f>
        <v>American Captive Company</v>
      </c>
      <c r="S2" s="5">
        <f>'1-Start'!S7</f>
        <v>0</v>
      </c>
    </row>
    <row r="4" spans="2:48" ht="26">
      <c r="B4" s="5" t="s">
        <v>179</v>
      </c>
      <c r="O4" s="98" t="s">
        <v>284</v>
      </c>
      <c r="P4" s="16"/>
      <c r="Q4" s="98" t="str">
        <f>'xScenario Creator'!D7</f>
        <v>R1L3</v>
      </c>
      <c r="S4" s="5" t="s">
        <v>200</v>
      </c>
      <c r="AE4" s="98" t="s">
        <v>284</v>
      </c>
      <c r="AF4" s="16"/>
      <c r="AG4" s="98" t="str">
        <f>'xScenario Creator'!D7</f>
        <v>R1L3</v>
      </c>
      <c r="AI4" s="23" t="s">
        <v>120</v>
      </c>
      <c r="AO4" s="7"/>
      <c r="AQ4" s="7"/>
    </row>
    <row r="5" spans="2:48" ht="6.75" customHeight="1">
      <c r="B5" s="43"/>
      <c r="C5" s="32"/>
      <c r="D5" s="32"/>
      <c r="E5" s="32"/>
      <c r="F5" s="32"/>
      <c r="G5" s="32"/>
      <c r="H5" s="32"/>
      <c r="I5" s="25"/>
      <c r="J5" s="32"/>
      <c r="K5" s="25"/>
      <c r="L5" s="32"/>
      <c r="M5" s="25"/>
      <c r="N5" s="32"/>
      <c r="O5" s="25"/>
      <c r="P5" s="32"/>
      <c r="Q5" s="25"/>
      <c r="S5" s="43"/>
      <c r="T5" s="32"/>
      <c r="U5" s="32"/>
      <c r="V5" s="32"/>
      <c r="W5" s="32"/>
      <c r="X5" s="32"/>
      <c r="Y5" s="25"/>
      <c r="Z5" s="32"/>
      <c r="AA5" s="25"/>
      <c r="AB5" s="32"/>
      <c r="AC5" s="25"/>
      <c r="AD5" s="32"/>
      <c r="AE5" s="25"/>
      <c r="AF5" s="32"/>
      <c r="AG5" s="25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</row>
    <row r="6" spans="2:48" ht="17.25" customHeight="1">
      <c r="B6" s="5"/>
      <c r="S6" s="5"/>
    </row>
    <row r="7" spans="2:48" ht="15" thickBot="1">
      <c r="I7" s="33"/>
      <c r="J7" s="34"/>
      <c r="K7" s="33"/>
      <c r="L7" s="34"/>
      <c r="M7" s="35" t="s">
        <v>58</v>
      </c>
      <c r="N7" s="34"/>
      <c r="O7" s="33"/>
      <c r="P7" s="34"/>
      <c r="Q7" s="33"/>
      <c r="Y7" s="33"/>
      <c r="Z7" s="34"/>
      <c r="AA7" s="33"/>
      <c r="AB7" s="34"/>
      <c r="AC7" s="35" t="s">
        <v>59</v>
      </c>
      <c r="AD7" s="34"/>
      <c r="AE7" s="33"/>
      <c r="AF7" s="34"/>
      <c r="AG7" s="33"/>
      <c r="AN7" s="33"/>
      <c r="AO7" s="34"/>
      <c r="AP7" s="33"/>
      <c r="AQ7" s="34"/>
      <c r="AR7" s="35" t="s">
        <v>58</v>
      </c>
      <c r="AS7" s="34"/>
      <c r="AT7" s="33"/>
      <c r="AU7" s="34"/>
      <c r="AV7" s="33"/>
    </row>
    <row r="8" spans="2:48">
      <c r="B8" s="6" t="s">
        <v>180</v>
      </c>
      <c r="I8" s="8">
        <f>'1-Start'!C13</f>
        <v>2019</v>
      </c>
      <c r="J8" s="8"/>
      <c r="K8" s="8">
        <f>I8+1</f>
        <v>2020</v>
      </c>
      <c r="L8" s="8"/>
      <c r="M8" s="8">
        <f>K8+1</f>
        <v>2021</v>
      </c>
      <c r="N8" s="8"/>
      <c r="O8" s="8">
        <f>M8+1</f>
        <v>2022</v>
      </c>
      <c r="P8" s="8"/>
      <c r="Q8" s="8">
        <f>O8+1</f>
        <v>2023</v>
      </c>
      <c r="S8" s="6" t="s">
        <v>201</v>
      </c>
      <c r="Y8" s="10">
        <f>DATE(YEAR('1-Start'!D11)+1,MONTH('1-Start'!D11),DAY('1-Start'!D11))</f>
        <v>43465</v>
      </c>
      <c r="Z8" s="8"/>
      <c r="AA8" s="10">
        <f>DATE(YEAR(Y8)+1,MONTH(Y8),DAY(Y8))</f>
        <v>43830</v>
      </c>
      <c r="AB8" s="8"/>
      <c r="AC8" s="10">
        <f>DATE(YEAR(AA8)+1,MONTH(AA8),DAY(AA8))</f>
        <v>44196</v>
      </c>
      <c r="AD8" s="8"/>
      <c r="AE8" s="10">
        <f>DATE(YEAR(AC8)+1,MONTH(AC8),DAY(AC8))</f>
        <v>44561</v>
      </c>
      <c r="AF8" s="8"/>
      <c r="AG8" s="10">
        <f>DATE(YEAR(AE8)+1,MONTH(AE8),DAY(AE8))</f>
        <v>44926</v>
      </c>
      <c r="AN8" s="8">
        <f>I8</f>
        <v>2019</v>
      </c>
      <c r="AO8" s="8"/>
      <c r="AP8" s="8">
        <f>AN8+1</f>
        <v>2020</v>
      </c>
      <c r="AQ8" s="8"/>
      <c r="AR8" s="8">
        <f>AP8+1</f>
        <v>2021</v>
      </c>
      <c r="AS8" s="8"/>
      <c r="AT8" s="8">
        <f>AR8+1</f>
        <v>2022</v>
      </c>
      <c r="AU8" s="8"/>
      <c r="AV8" s="8">
        <f>AT8+1</f>
        <v>2023</v>
      </c>
    </row>
    <row r="9" spans="2:48">
      <c r="AI9" s="113" t="s">
        <v>319</v>
      </c>
      <c r="AJ9" s="113"/>
      <c r="AK9" s="113"/>
      <c r="AL9" s="113"/>
      <c r="AM9" s="113"/>
      <c r="AN9" s="7">
        <f>Y22-Historical!AB14</f>
        <v>285605.34158796794</v>
      </c>
      <c r="AP9" s="7">
        <f>AA22-Historical!AD14</f>
        <v>252872.9489212659</v>
      </c>
      <c r="AR9" s="7">
        <f>AC22-Y22</f>
        <v>13526.672383097466</v>
      </c>
      <c r="AT9" s="7">
        <f>AE22-AA22</f>
        <v>-8243.6399336970062</v>
      </c>
      <c r="AV9" s="7">
        <f>AG22-AC22</f>
        <v>-21210.525595417595</v>
      </c>
    </row>
    <row r="10" spans="2:48">
      <c r="C10" t="s">
        <v>86</v>
      </c>
      <c r="I10" s="303">
        <f>I66*'Setup 2'!I36</f>
        <v>336600</v>
      </c>
      <c r="K10" s="303">
        <f>K66*'Setup 2'!J36</f>
        <v>343332</v>
      </c>
      <c r="M10" s="303">
        <f>M66*'Setup 2'!K36</f>
        <v>350198.64</v>
      </c>
      <c r="O10" s="303">
        <f>O66*'Setup 2'!L36</f>
        <v>357202.6128</v>
      </c>
      <c r="Q10" s="303">
        <f>Q66*'Setup 2'!L36</f>
        <v>364346.665056</v>
      </c>
      <c r="T10" t="s">
        <v>281</v>
      </c>
      <c r="Y10" s="7">
        <f>Historical!T9+xModel!I59+I23</f>
        <v>279533.28896301851</v>
      </c>
      <c r="AA10" s="7">
        <f>Y10+K59+K23</f>
        <v>378631.16137122083</v>
      </c>
      <c r="AC10" s="7">
        <f>AA10+M59+M23</f>
        <v>490545.10113836126</v>
      </c>
      <c r="AE10" s="7">
        <f>AC10+O59+O23</f>
        <v>500555.28333397355</v>
      </c>
      <c r="AG10" s="7">
        <f>AE10+Q59+Q23</f>
        <v>579272.22784899874</v>
      </c>
      <c r="AI10" s="113" t="s">
        <v>321</v>
      </c>
      <c r="AJ10" s="113"/>
      <c r="AK10" s="113"/>
      <c r="AL10" s="113"/>
      <c r="AM10" s="113"/>
      <c r="AN10" s="7">
        <f>Historical!T24</f>
        <v>249833</v>
      </c>
      <c r="AP10" s="7">
        <f>Y22</f>
        <v>360548.34158796794</v>
      </c>
      <c r="AR10" s="7">
        <f>AA22</f>
        <v>385640.9489212659</v>
      </c>
      <c r="AT10" s="7">
        <f>AC22</f>
        <v>374075.0139710654</v>
      </c>
      <c r="AV10" s="7">
        <f>AE22</f>
        <v>377397.30898756889</v>
      </c>
    </row>
    <row r="11" spans="2:48">
      <c r="C11" t="s">
        <v>181</v>
      </c>
      <c r="I11" s="303">
        <f>-I10*'Setup 2'!I37</f>
        <v>-1098.0771843923462</v>
      </c>
      <c r="J11" s="303">
        <f>-J10*'Setup 2'!J37</f>
        <v>0</v>
      </c>
      <c r="K11" s="303">
        <f>-K10*'Setup 2'!J37</f>
        <v>-1324.5250309433968</v>
      </c>
      <c r="L11" s="303">
        <f>-L10*'Setup 2'!L37</f>
        <v>0</v>
      </c>
      <c r="M11" s="303">
        <f>-M10*'Setup 2'!K37</f>
        <v>-974.94218774870706</v>
      </c>
      <c r="N11" s="303" t="e">
        <f>-N10*'Setup 2'!N37</f>
        <v>#VALUE!</v>
      </c>
      <c r="O11" s="303">
        <f>-O10*'Setup 2'!M37</f>
        <v>-2319.279977774775</v>
      </c>
      <c r="P11" s="303">
        <f>-P10*'Setup 2'!P37</f>
        <v>0</v>
      </c>
      <c r="Q11" s="303">
        <f>-Q10*'Setup 2'!M37</f>
        <v>-2365.6655773302705</v>
      </c>
      <c r="T11" t="s">
        <v>317</v>
      </c>
      <c r="Y11" s="7">
        <f>Y10*'Setup 2'!I80</f>
        <v>0</v>
      </c>
      <c r="AA11" s="7">
        <f>AA10*'Setup 2'!K80</f>
        <v>0</v>
      </c>
      <c r="AC11" s="7">
        <f>AC10*'Setup 2'!M80</f>
        <v>0</v>
      </c>
      <c r="AE11" s="7">
        <f>AE10*'Setup 2'!O80</f>
        <v>0</v>
      </c>
      <c r="AG11" s="7">
        <f>AG10*'Setup 2'!Q80</f>
        <v>0</v>
      </c>
      <c r="AI11" s="113" t="s">
        <v>322</v>
      </c>
      <c r="AJ11" s="113"/>
      <c r="AK11" s="113"/>
      <c r="AL11" s="113"/>
      <c r="AM11" s="113"/>
      <c r="AN11" s="7">
        <f>Historical!R24</f>
        <v>132768</v>
      </c>
      <c r="AP11" s="7">
        <f>AN10</f>
        <v>249833</v>
      </c>
      <c r="AR11" s="7">
        <f>AP10</f>
        <v>360548.34158796794</v>
      </c>
      <c r="AT11" s="7">
        <f>AR10</f>
        <v>385640.9489212659</v>
      </c>
      <c r="AV11" s="7">
        <f>AT10</f>
        <v>374075.0139710654</v>
      </c>
    </row>
    <row r="12" spans="2:48">
      <c r="C12" s="113" t="s">
        <v>314</v>
      </c>
      <c r="D12" s="113"/>
      <c r="E12" s="113"/>
      <c r="F12" s="113"/>
      <c r="G12" s="113"/>
      <c r="H12" s="113"/>
      <c r="I12" s="303">
        <f>-I10*'Setup 2'!I38</f>
        <v>-16830</v>
      </c>
      <c r="J12" s="303">
        <f>-J10*'Setup 2'!J38</f>
        <v>0</v>
      </c>
      <c r="K12" s="303">
        <f>-K10*'Setup 2'!J38</f>
        <v>-17166.600000000002</v>
      </c>
      <c r="L12" s="303">
        <f>-L10*'Setup 2'!L38</f>
        <v>0</v>
      </c>
      <c r="M12" s="303">
        <f>-M10*'Setup 2'!K38</f>
        <v>-17509.932000000001</v>
      </c>
      <c r="N12" s="303">
        <f>-N10*'Setup 2'!N38</f>
        <v>0</v>
      </c>
      <c r="O12" s="303">
        <f>-O10*'Setup 2'!L38</f>
        <v>-17860.130639999999</v>
      </c>
      <c r="P12" s="303">
        <f>-P10*'Setup 2'!P38</f>
        <v>0</v>
      </c>
      <c r="Q12" s="303">
        <f>-Q10*'Setup 2'!M38</f>
        <v>-18217.333252799999</v>
      </c>
      <c r="AI12" s="113" t="s">
        <v>323</v>
      </c>
      <c r="AJ12" s="113"/>
      <c r="AK12" s="113"/>
      <c r="AL12" s="113"/>
      <c r="AM12" s="113"/>
      <c r="AN12" s="7">
        <f>Historical!J19</f>
        <v>1841083</v>
      </c>
      <c r="AP12" s="7">
        <f>I16</f>
        <v>273230.92281560763</v>
      </c>
      <c r="AR12" s="7">
        <f>K16</f>
        <v>278491.05496905663</v>
      </c>
      <c r="AT12" s="7">
        <f>M16</f>
        <v>284436.94941225124</v>
      </c>
      <c r="AV12" s="7">
        <f>O16</f>
        <v>288800.84945422527</v>
      </c>
    </row>
    <row r="13" spans="2:48">
      <c r="C13" t="s">
        <v>110</v>
      </c>
      <c r="I13" s="303">
        <f>-'Setup 2'!I39*xModel!I10</f>
        <v>-33660</v>
      </c>
      <c r="J13" s="303">
        <f>-'Setup 2'!J39*xModel!J10</f>
        <v>0</v>
      </c>
      <c r="K13" s="303">
        <f>-'Setup 2'!J39*xModel!K10</f>
        <v>-34333.200000000004</v>
      </c>
      <c r="L13" s="303">
        <f>-'Setup 2'!L39*xModel!L10</f>
        <v>0</v>
      </c>
      <c r="M13" s="303">
        <f>-'Setup 2'!K39*xModel!M10</f>
        <v>-35019.864000000001</v>
      </c>
      <c r="N13" s="303">
        <f>-'Setup 2'!N39*xModel!N10</f>
        <v>0</v>
      </c>
      <c r="O13" s="303">
        <f>-'Setup 2'!L39*xModel!O10</f>
        <v>-35720.261279999999</v>
      </c>
      <c r="P13" s="303">
        <f>-'Setup 2'!P39*xModel!P10</f>
        <v>0</v>
      </c>
      <c r="Q13" s="303">
        <f>-'Setup 2'!M39*xModel!Q10</f>
        <v>-36434.666505599998</v>
      </c>
      <c r="T13" t="s">
        <v>165</v>
      </c>
      <c r="Y13" s="7">
        <f>Historical!T10</f>
        <v>0</v>
      </c>
      <c r="AA13" s="7">
        <f>Y13</f>
        <v>0</v>
      </c>
      <c r="AC13" s="7">
        <f>AA13</f>
        <v>0</v>
      </c>
      <c r="AE13" s="7">
        <f>AC13</f>
        <v>0</v>
      </c>
      <c r="AG13" s="7">
        <f>AE13</f>
        <v>0</v>
      </c>
      <c r="AI13" s="113" t="s">
        <v>324</v>
      </c>
      <c r="AJ13" s="113"/>
      <c r="AK13" s="113"/>
      <c r="AL13" s="113"/>
      <c r="AM13" s="113"/>
      <c r="AN13" s="7">
        <f>Historical!H19</f>
        <v>1170493</v>
      </c>
      <c r="AP13" s="7">
        <f>AN12</f>
        <v>1841083</v>
      </c>
      <c r="AR13" s="7">
        <f>AP12</f>
        <v>273230.92281560763</v>
      </c>
      <c r="AT13" s="7">
        <f>AR12</f>
        <v>278491.05496905663</v>
      </c>
      <c r="AV13" s="7">
        <f>AT12</f>
        <v>284436.94941225124</v>
      </c>
    </row>
    <row r="14" spans="2:48">
      <c r="C14" t="s">
        <v>125</v>
      </c>
      <c r="I14" s="303">
        <f>-I10*'Setup 2'!I40</f>
        <v>-11781.000000000002</v>
      </c>
      <c r="J14" s="303">
        <f>-J10*'Setup 2'!J40</f>
        <v>0</v>
      </c>
      <c r="K14" s="303">
        <f>-K10*'Setup 2'!J40</f>
        <v>-12016.62</v>
      </c>
      <c r="L14" s="303">
        <f>-L10*'Setup 2'!L40</f>
        <v>0</v>
      </c>
      <c r="M14" s="303">
        <f>-M10*'Setup 2'!K40</f>
        <v>-12256.952400000002</v>
      </c>
      <c r="N14" s="303">
        <f>-N10*'Setup 2'!N40</f>
        <v>0</v>
      </c>
      <c r="O14" s="303">
        <f>-O10*'Setup 2'!L40</f>
        <v>-12502.091448000001</v>
      </c>
      <c r="P14" s="303">
        <f>-P10*'Setup 2'!P40</f>
        <v>0</v>
      </c>
      <c r="Q14" s="303">
        <f>-Q10*'Setup 2'!M40</f>
        <v>-12752.133276960001</v>
      </c>
      <c r="T14" t="s">
        <v>202</v>
      </c>
      <c r="Y14" s="7">
        <f>Historical!T15</f>
        <v>1725710</v>
      </c>
      <c r="AA14" s="7">
        <f>Y14</f>
        <v>1725710</v>
      </c>
      <c r="AC14" s="7">
        <f>AA14</f>
        <v>1725710</v>
      </c>
      <c r="AE14" s="7">
        <f>AC14</f>
        <v>1725710</v>
      </c>
      <c r="AG14" s="7">
        <f>AE14</f>
        <v>1725710</v>
      </c>
      <c r="AI14" s="113" t="s">
        <v>348</v>
      </c>
      <c r="AJ14" s="113"/>
      <c r="AK14" s="113"/>
      <c r="AL14" s="113"/>
      <c r="AM14" s="113"/>
      <c r="AN14" s="7">
        <f>Historical!J27</f>
        <v>230003</v>
      </c>
      <c r="AP14" s="7">
        <f>I25</f>
        <v>280385.1493940705</v>
      </c>
      <c r="AR14" s="7">
        <f>K25</f>
        <v>239631.36202317104</v>
      </c>
      <c r="AT14" s="7">
        <f>M25</f>
        <v>191574.91409549199</v>
      </c>
      <c r="AV14" s="7">
        <f>O25</f>
        <v>208968.07635913836</v>
      </c>
    </row>
    <row r="15" spans="2:48" ht="15" thickBot="1">
      <c r="T15" t="s">
        <v>203</v>
      </c>
      <c r="Y15" s="54">
        <f>Historical!T16</f>
        <v>5000</v>
      </c>
      <c r="AA15" s="54">
        <f>Y15</f>
        <v>5000</v>
      </c>
      <c r="AC15" s="54">
        <f>AA15</f>
        <v>5000</v>
      </c>
      <c r="AE15" s="54">
        <f>AC15</f>
        <v>5000</v>
      </c>
      <c r="AG15" s="54">
        <f>AE15</f>
        <v>5000</v>
      </c>
      <c r="AI15" s="113" t="s">
        <v>351</v>
      </c>
      <c r="AJ15" s="113"/>
      <c r="AK15" s="113"/>
      <c r="AL15" s="113"/>
      <c r="AM15" s="113"/>
      <c r="AN15" s="7">
        <f>Historical!J57</f>
        <v>0</v>
      </c>
      <c r="AP15" s="7">
        <f>I55</f>
        <v>0</v>
      </c>
      <c r="AR15" s="7">
        <f>K55</f>
        <v>0</v>
      </c>
      <c r="AT15" s="7">
        <f>M55</f>
        <v>0</v>
      </c>
      <c r="AV15" s="7">
        <f>O55</f>
        <v>0</v>
      </c>
    </row>
    <row r="16" spans="2:48" ht="15" thickTop="1">
      <c r="C16" t="s">
        <v>182</v>
      </c>
      <c r="I16" s="303">
        <f>SUM(I10:I14)</f>
        <v>273230.92281560763</v>
      </c>
      <c r="J16" s="303"/>
      <c r="K16" s="303">
        <f t="shared" ref="K16:Q16" si="0">SUM(K10:K14)</f>
        <v>278491.05496905663</v>
      </c>
      <c r="L16" s="303"/>
      <c r="M16" s="303">
        <f t="shared" si="0"/>
        <v>284436.94941225124</v>
      </c>
      <c r="N16" s="303"/>
      <c r="O16" s="303">
        <f t="shared" si="0"/>
        <v>288800.84945422527</v>
      </c>
      <c r="P16" s="303"/>
      <c r="Q16" s="303">
        <f t="shared" si="0"/>
        <v>294576.86644330976</v>
      </c>
      <c r="AI16" s="113" t="s">
        <v>355</v>
      </c>
      <c r="AJ16" s="113"/>
      <c r="AK16" s="113"/>
      <c r="AL16" s="113"/>
      <c r="AM16" s="113"/>
      <c r="AN16" s="7">
        <f>Historical!J39</f>
        <v>66958</v>
      </c>
      <c r="AP16" s="7">
        <f>I38</f>
        <v>68816.740000000005</v>
      </c>
      <c r="AR16" s="7">
        <f>K38</f>
        <v>70731.242200000008</v>
      </c>
      <c r="AT16" s="7">
        <f>M38</f>
        <v>72703.179466000016</v>
      </c>
      <c r="AV16" s="7">
        <f>O38</f>
        <v>74734.274849980022</v>
      </c>
    </row>
    <row r="17" spans="2:48">
      <c r="T17" t="s">
        <v>166</v>
      </c>
      <c r="Y17" s="7">
        <f>SUM(Y10:Y15)</f>
        <v>2010243.2889630185</v>
      </c>
      <c r="AA17" s="7">
        <f>SUM(AA10:AA15)</f>
        <v>2109341.1613712208</v>
      </c>
      <c r="AC17" s="7">
        <f>SUM(AC10:AC15)</f>
        <v>2221255.1011383613</v>
      </c>
      <c r="AE17" s="7">
        <f>SUM(AE10:AE15)</f>
        <v>2231265.2833339735</v>
      </c>
      <c r="AG17" s="7">
        <f>SUM(AG10:AG15)</f>
        <v>2309982.2278489987</v>
      </c>
      <c r="AI17" s="113" t="s">
        <v>357</v>
      </c>
      <c r="AJ17" s="113"/>
      <c r="AK17" s="113"/>
      <c r="AL17" s="113"/>
      <c r="AM17" s="113"/>
      <c r="AN17" s="7">
        <f>Historical!J51</f>
        <v>0</v>
      </c>
      <c r="AP17" s="7">
        <f>I50</f>
        <v>0</v>
      </c>
      <c r="AR17" s="7">
        <f>K50</f>
        <v>0</v>
      </c>
      <c r="AT17" s="7">
        <f>M50</f>
        <v>0</v>
      </c>
      <c r="AV17" s="7">
        <f>O50</f>
        <v>0</v>
      </c>
    </row>
    <row r="18" spans="2:48">
      <c r="C18" s="113" t="s">
        <v>326</v>
      </c>
      <c r="D18" s="113"/>
      <c r="E18" s="113"/>
      <c r="F18" s="113"/>
      <c r="G18" s="113"/>
      <c r="I18" s="309">
        <f>I16*'Setup 2'!I41</f>
        <v>68307.730703901907</v>
      </c>
      <c r="K18" s="311">
        <f>K16*'Setup 2'!J41</f>
        <v>69622.763742264156</v>
      </c>
      <c r="M18" s="311">
        <f>M16*'Setup 2'!K41</f>
        <v>71109.23735306281</v>
      </c>
      <c r="O18" s="311">
        <f>O16*'Setup 2'!L41</f>
        <v>72200.212363556318</v>
      </c>
      <c r="Q18" s="311">
        <f>Q16*'Setup 2'!M41</f>
        <v>73644.21661082744</v>
      </c>
      <c r="AI18" s="113" t="s">
        <v>360</v>
      </c>
      <c r="AJ18" s="113"/>
      <c r="AK18" s="113"/>
      <c r="AL18" s="113"/>
      <c r="AM18" s="113"/>
      <c r="AN18" s="7">
        <f>Historical!J48</f>
        <v>103130</v>
      </c>
      <c r="AP18" s="7">
        <f>I47</f>
        <v>109839.91395351345</v>
      </c>
      <c r="AR18" s="7">
        <f>K47</f>
        <v>105876.81432901876</v>
      </c>
      <c r="AT18" s="7">
        <f>M47</f>
        <v>103321.01886658167</v>
      </c>
      <c r="AV18" s="7">
        <f>O47</f>
        <v>1589.3889340019321</v>
      </c>
    </row>
    <row r="20" spans="2:48">
      <c r="B20" s="6" t="s">
        <v>183</v>
      </c>
      <c r="S20" s="6" t="s">
        <v>204</v>
      </c>
    </row>
    <row r="22" spans="2:48">
      <c r="C22" t="s">
        <v>184</v>
      </c>
      <c r="I22" s="7">
        <f>R71</f>
        <v>169669.80780610256</v>
      </c>
      <c r="K22" s="7">
        <f>R72</f>
        <v>214538.75468987308</v>
      </c>
      <c r="M22" s="7">
        <f>R73</f>
        <v>203140.84904569248</v>
      </c>
      <c r="O22" s="7">
        <f>R74</f>
        <v>205645.78134263487</v>
      </c>
      <c r="Q22" s="7">
        <f>R75</f>
        <v>200435.0603408633</v>
      </c>
      <c r="T22" t="s">
        <v>205</v>
      </c>
      <c r="Y22" s="7">
        <f>Historical!T24+xModel!I67-xModel!I22</f>
        <v>360548.34158796794</v>
      </c>
      <c r="AA22" s="7">
        <f>Y22+K67-R72</f>
        <v>385640.9489212659</v>
      </c>
      <c r="AC22" s="7">
        <f>AA22+M67-R73</f>
        <v>374075.0139710654</v>
      </c>
      <c r="AE22" s="7">
        <f>AC22+O67-R74</f>
        <v>377397.30898756889</v>
      </c>
      <c r="AG22" s="7">
        <f>AE22+Q67-R75</f>
        <v>352864.48837564781</v>
      </c>
    </row>
    <row r="23" spans="2:48" ht="15" thickBot="1">
      <c r="C23" t="s">
        <v>185</v>
      </c>
      <c r="I23" s="54">
        <f>Y22-Historical!T24</f>
        <v>110715.34158796794</v>
      </c>
      <c r="K23" s="54">
        <f>AA22-Y22</f>
        <v>25092.607333297958</v>
      </c>
      <c r="M23" s="54">
        <f>AC22-AA22</f>
        <v>-11565.934950200492</v>
      </c>
      <c r="O23" s="54">
        <f>AE22-AC22</f>
        <v>3322.2950165034854</v>
      </c>
      <c r="Q23" s="54">
        <f>AG22-AE22</f>
        <v>-24532.820611921081</v>
      </c>
      <c r="T23" t="s">
        <v>206</v>
      </c>
      <c r="Y23" s="54">
        <f>Historical!T25</f>
        <v>420078</v>
      </c>
      <c r="AA23" s="54">
        <f>Y23</f>
        <v>420078</v>
      </c>
      <c r="AC23" s="54">
        <f>AA23</f>
        <v>420078</v>
      </c>
      <c r="AE23" s="54">
        <f>AC23</f>
        <v>420078</v>
      </c>
      <c r="AG23" s="54">
        <f>AE23</f>
        <v>420078</v>
      </c>
    </row>
    <row r="24" spans="2:48" ht="15" thickTop="1"/>
    <row r="25" spans="2:48">
      <c r="C25" t="s">
        <v>186</v>
      </c>
      <c r="I25" s="7">
        <f>I23+I22</f>
        <v>280385.1493940705</v>
      </c>
      <c r="K25" s="7">
        <f>K23+K22</f>
        <v>239631.36202317104</v>
      </c>
      <c r="M25" s="7">
        <f>M23+M22</f>
        <v>191574.91409549199</v>
      </c>
      <c r="O25" s="7">
        <f>O23+O22</f>
        <v>208968.07635913836</v>
      </c>
      <c r="Q25" s="7">
        <f>Q23+Q22</f>
        <v>175902.23972894222</v>
      </c>
      <c r="T25" t="s">
        <v>167</v>
      </c>
      <c r="Y25" s="7">
        <f>Y23+Y22</f>
        <v>780626.34158796794</v>
      </c>
      <c r="AA25" s="7">
        <f>AA23+AA22</f>
        <v>805718.9489212659</v>
      </c>
      <c r="AC25" s="7">
        <f>AC23+AC22</f>
        <v>794153.0139710654</v>
      </c>
      <c r="AE25" s="7">
        <f>AE23+AE22</f>
        <v>797475.30898756883</v>
      </c>
      <c r="AG25" s="7">
        <f>AG23+AG22</f>
        <v>772942.48837564781</v>
      </c>
    </row>
    <row r="27" spans="2:48">
      <c r="C27" t="s">
        <v>164</v>
      </c>
      <c r="I27" s="7">
        <f>I16-I25</f>
        <v>-7154.2265784628689</v>
      </c>
      <c r="K27" s="7">
        <f>K16-K25</f>
        <v>38859.692945885588</v>
      </c>
      <c r="M27" s="7">
        <f>M16-M25</f>
        <v>92862.035316759255</v>
      </c>
      <c r="O27" s="7">
        <f>O16-O25</f>
        <v>79832.773095086915</v>
      </c>
      <c r="Q27" s="7">
        <f>Q16-Q25</f>
        <v>118674.62671436754</v>
      </c>
      <c r="S27" s="6" t="s">
        <v>169</v>
      </c>
      <c r="Y27" s="7">
        <f>Y17-Y25</f>
        <v>1229616.9473750505</v>
      </c>
      <c r="AA27" s="7">
        <f>AA17-AA25</f>
        <v>1303622.2124499548</v>
      </c>
      <c r="AC27" s="7">
        <f>AC17-AC25</f>
        <v>1427102.0871672959</v>
      </c>
      <c r="AE27" s="7">
        <f>AE17-AE25</f>
        <v>1433789.9743464047</v>
      </c>
      <c r="AG27" s="7">
        <f>AG17-AG25</f>
        <v>1537039.7394733508</v>
      </c>
    </row>
    <row r="28" spans="2:48">
      <c r="S28" s="6"/>
    </row>
    <row r="29" spans="2:48" ht="6.75" customHeight="1">
      <c r="S29" s="32"/>
      <c r="T29" s="32"/>
      <c r="U29" s="32"/>
      <c r="V29" s="32"/>
      <c r="W29" s="32"/>
      <c r="X29" s="32"/>
      <c r="Y29" s="25"/>
      <c r="Z29" s="32"/>
      <c r="AA29" s="25"/>
      <c r="AB29" s="32"/>
      <c r="AC29" s="25"/>
      <c r="AD29" s="32"/>
      <c r="AE29" s="25"/>
      <c r="AF29" s="32"/>
      <c r="AG29" s="25"/>
    </row>
    <row r="30" spans="2:48" ht="26">
      <c r="C30" t="s">
        <v>163</v>
      </c>
      <c r="S30" s="23" t="s">
        <v>53</v>
      </c>
      <c r="X30" s="5"/>
      <c r="Y30"/>
      <c r="AA30"/>
      <c r="AC30"/>
      <c r="AE30" s="98" t="s">
        <v>284</v>
      </c>
      <c r="AG30" s="98" t="str">
        <f>AG4</f>
        <v>R1L3</v>
      </c>
    </row>
    <row r="31" spans="2:48" ht="15.75" customHeight="1">
      <c r="D31" t="s">
        <v>187</v>
      </c>
      <c r="I31" s="7">
        <f>Historical!J32*(1+'Setup 2'!I48)</f>
        <v>63816.740000000005</v>
      </c>
      <c r="K31" s="7">
        <f>I31*(1+'Setup 2'!J48)</f>
        <v>65731.242200000008</v>
      </c>
      <c r="M31" s="7">
        <f>K31*(1+'Setup 2'!K48)</f>
        <v>67703.179466000016</v>
      </c>
      <c r="O31" s="7">
        <f>M31*(1+'Setup 2'!L48)</f>
        <v>69734.274849980022</v>
      </c>
      <c r="Q31" s="7">
        <f>O31*(1+'Setup 2'!M48)</f>
        <v>71826.303095479423</v>
      </c>
      <c r="S31" s="5"/>
    </row>
    <row r="32" spans="2:48" ht="15" thickBot="1">
      <c r="D32" t="s">
        <v>188</v>
      </c>
      <c r="I32" s="7">
        <f>Historical!J33*(1+'Setup 2'!I49)</f>
        <v>0</v>
      </c>
      <c r="K32" s="7">
        <f>I32*(1+'Setup 2'!J49)</f>
        <v>0</v>
      </c>
      <c r="M32" s="7">
        <f>K32*(1+'Setup 2'!K49)</f>
        <v>0</v>
      </c>
      <c r="O32" s="7">
        <f>M32*(1+'Setup 2'!L49)</f>
        <v>0</v>
      </c>
      <c r="Q32" s="7">
        <f>O32*(1+'Setup 2'!M49)</f>
        <v>0</v>
      </c>
      <c r="Y32" s="33"/>
      <c r="Z32" s="34"/>
      <c r="AA32" s="33"/>
      <c r="AB32" s="34"/>
      <c r="AC32" s="35" t="s">
        <v>59</v>
      </c>
      <c r="AD32" s="34"/>
      <c r="AE32" s="33"/>
      <c r="AF32" s="34"/>
      <c r="AG32" s="33"/>
    </row>
    <row r="33" spans="2:33">
      <c r="D33" t="s">
        <v>189</v>
      </c>
      <c r="I33" s="7">
        <f>Historical!J34*(1+'Setup 2'!I50)</f>
        <v>0</v>
      </c>
      <c r="K33" s="7">
        <f>I33*(1+'Setup 2'!J50)</f>
        <v>0</v>
      </c>
      <c r="M33" s="7">
        <f>K33*(1+'Setup 2'!K50)</f>
        <v>0</v>
      </c>
      <c r="O33" s="7">
        <f>M33*(1+'Setup 2'!L50)</f>
        <v>0</v>
      </c>
      <c r="Q33" s="7">
        <f>O33*(1+'Setup 2'!M50)</f>
        <v>0</v>
      </c>
      <c r="S33" s="22" t="s">
        <v>74</v>
      </c>
      <c r="Y33" s="10">
        <f>Y8</f>
        <v>43465</v>
      </c>
      <c r="Z33" s="8"/>
      <c r="AA33" s="10">
        <f>AA8</f>
        <v>43830</v>
      </c>
      <c r="AB33" s="8"/>
      <c r="AC33" s="10">
        <f>AC8</f>
        <v>44196</v>
      </c>
      <c r="AD33" s="8"/>
      <c r="AE33" s="10">
        <f>AE8</f>
        <v>44561</v>
      </c>
      <c r="AF33" s="8"/>
      <c r="AG33" s="10">
        <f>AG8</f>
        <v>44926</v>
      </c>
    </row>
    <row r="34" spans="2:33">
      <c r="D34" t="s">
        <v>190</v>
      </c>
      <c r="I34" s="7">
        <f>Historical!J35*(1+'Setup 2'!I51)</f>
        <v>0</v>
      </c>
      <c r="K34" s="7">
        <f>I34*(1+'Setup 2'!J51)</f>
        <v>0</v>
      </c>
      <c r="M34" s="7">
        <f>K34*(1+'Setup 2'!K51)</f>
        <v>0</v>
      </c>
      <c r="O34" s="7">
        <f>M34*(1+'Setup 2'!L51)</f>
        <v>0</v>
      </c>
      <c r="Q34" s="7">
        <f>O34*(1+'Setup 2'!M51)</f>
        <v>0</v>
      </c>
      <c r="Y34"/>
      <c r="AA34"/>
      <c r="AC34"/>
      <c r="AE34"/>
      <c r="AG34"/>
    </row>
    <row r="35" spans="2:33">
      <c r="D35" t="s">
        <v>111</v>
      </c>
      <c r="I35" s="7">
        <f>Historical!J36*(1+'Setup 2'!I52)</f>
        <v>5000</v>
      </c>
      <c r="K35" s="7">
        <f>I35*(1+'Setup 2'!J52)</f>
        <v>5000</v>
      </c>
      <c r="M35" s="7">
        <f>K35*(1+'Setup 2'!K52)</f>
        <v>5000</v>
      </c>
      <c r="O35" s="7">
        <f>M35*(1+'Setup 2'!L52)</f>
        <v>5000</v>
      </c>
      <c r="Q35" s="7">
        <f>O35*(1+'Setup 2'!M52)</f>
        <v>5000</v>
      </c>
      <c r="R35">
        <v>1</v>
      </c>
      <c r="S35" t="s">
        <v>115</v>
      </c>
      <c r="Y35" s="94">
        <f>I10/Y27</f>
        <v>0.27374378721646903</v>
      </c>
      <c r="AA35" s="94">
        <f>K10/AA27</f>
        <v>0.26336771245617319</v>
      </c>
      <c r="AC35" s="94">
        <f>M10/AC27</f>
        <v>0.24539144266484914</v>
      </c>
      <c r="AE35" s="94">
        <f>O10/AE27</f>
        <v>0.24913175513228941</v>
      </c>
      <c r="AG35" s="94">
        <f>Q10/AG27</f>
        <v>0.23704440145499375</v>
      </c>
    </row>
    <row r="36" spans="2:33" ht="15" thickBot="1">
      <c r="D36" t="s">
        <v>191</v>
      </c>
      <c r="I36" s="54">
        <f>Historical!J37*(1+'Setup 2'!I53)</f>
        <v>0</v>
      </c>
      <c r="K36" s="54">
        <f>I36*(1+'Setup 2'!J53)</f>
        <v>0</v>
      </c>
      <c r="M36" s="54">
        <f>K36*(1+'Setup 2'!K53)</f>
        <v>0</v>
      </c>
      <c r="O36" s="54">
        <f>M36*(1+'Setup 2'!L53)</f>
        <v>0</v>
      </c>
      <c r="Q36" s="54">
        <f>O36*(1+'Setup 2'!M53)</f>
        <v>0</v>
      </c>
      <c r="R36" s="113">
        <v>2</v>
      </c>
      <c r="S36" s="113" t="s">
        <v>116</v>
      </c>
      <c r="T36" s="113"/>
      <c r="U36" s="113"/>
      <c r="V36" s="113"/>
      <c r="W36" s="113"/>
      <c r="X36" s="113"/>
      <c r="Y36" s="114">
        <f>(I16+I18)/Y27</f>
        <v>0.27776020349151503</v>
      </c>
      <c r="Z36" s="113"/>
      <c r="AA36" s="114">
        <f>(K16+K18)/AA27</f>
        <v>0.26703581404699683</v>
      </c>
      <c r="AB36" s="113"/>
      <c r="AC36" s="114">
        <f>(M16+M18)/AC27</f>
        <v>0.24913857947685436</v>
      </c>
      <c r="AD36" s="113"/>
      <c r="AE36" s="114">
        <f>(O16+O18)/AE27</f>
        <v>0.25178099183065111</v>
      </c>
      <c r="AF36" s="113"/>
      <c r="AG36" s="114">
        <f>(Q16+Q18)/AG27</f>
        <v>0.23956510270860268</v>
      </c>
    </row>
    <row r="37" spans="2:33" ht="15" thickTop="1">
      <c r="S37" t="s">
        <v>242</v>
      </c>
      <c r="Y37" s="94">
        <f>'xScenario Creator'!$C$7/xModel!Y27</f>
        <v>0.20331534998252304</v>
      </c>
      <c r="AA37" s="94">
        <f>'xScenario Creator'!$C$7/xModel!AA27</f>
        <v>0.19177335090828496</v>
      </c>
      <c r="AC37" s="94">
        <f>'xScenario Creator'!$C$7/xModel!AC27</f>
        <v>0.17518017964379382</v>
      </c>
      <c r="AE37" s="94">
        <f>'xScenario Creator'!$C$7/xModel!AE27</f>
        <v>0.17436305489160844</v>
      </c>
      <c r="AG37" s="94">
        <f>'xScenario Creator'!$C$7/xModel!AG27</f>
        <v>0.16265031643596908</v>
      </c>
    </row>
    <row r="38" spans="2:33">
      <c r="D38" t="s">
        <v>192</v>
      </c>
      <c r="I38" s="7">
        <f>SUM(I31:I36)</f>
        <v>68816.740000000005</v>
      </c>
      <c r="K38" s="7">
        <f>SUM(K31:K36)</f>
        <v>70731.242200000008</v>
      </c>
      <c r="M38" s="7">
        <f>SUM(M31:M36)</f>
        <v>72703.179466000016</v>
      </c>
      <c r="O38" s="7">
        <f>SUM(O31:O36)</f>
        <v>74734.274849980022</v>
      </c>
      <c r="Q38" s="7">
        <f>SUM(Q31:Q36)</f>
        <v>76826.303095479423</v>
      </c>
      <c r="S38" t="s">
        <v>48</v>
      </c>
      <c r="Y38" s="94">
        <f>I22/(Y10+Y13)</f>
        <v>0.60697532102714757</v>
      </c>
      <c r="AA38" s="94">
        <f>K22/(AA10+AA13)</f>
        <v>0.56661674098063242</v>
      </c>
      <c r="AC38" s="94">
        <f>M22/(AC10+AC13)</f>
        <v>0.41411248134836709</v>
      </c>
      <c r="AE38" s="94">
        <f>O22/(AE10+AE13)</f>
        <v>0.41083530269208396</v>
      </c>
      <c r="AG38" s="94">
        <f>Q22/(AG10+AG13)</f>
        <v>0.34601185885457558</v>
      </c>
    </row>
    <row r="39" spans="2:33">
      <c r="R39">
        <v>3</v>
      </c>
      <c r="S39" t="s">
        <v>207</v>
      </c>
      <c r="Y39" s="94">
        <f>(I16-Historical!J19)/Historical!J19</f>
        <v>-0.85159228409821408</v>
      </c>
      <c r="AA39" s="95">
        <f>(K16-I16)/I16</f>
        <v>1.925159897439151E-2</v>
      </c>
      <c r="AB39" s="95"/>
      <c r="AC39" s="95">
        <f>(M16-K16)/K16</f>
        <v>2.1350396492466402E-2</v>
      </c>
      <c r="AD39" s="95"/>
      <c r="AE39" s="95">
        <f>(O16-M16)/M16</f>
        <v>1.5342240348841513E-2</v>
      </c>
      <c r="AF39" s="95"/>
      <c r="AG39" s="95">
        <f>(Q16-O16)/O16</f>
        <v>1.9999999999999928E-2</v>
      </c>
    </row>
    <row r="40" spans="2:33">
      <c r="C40" t="s">
        <v>193</v>
      </c>
      <c r="I40" s="7">
        <f>I27-I38</f>
        <v>-75970.966578462874</v>
      </c>
      <c r="K40" s="7">
        <f>K27-K38</f>
        <v>-31871.549254114419</v>
      </c>
      <c r="M40" s="7">
        <f>M27-M38</f>
        <v>20158.855850759239</v>
      </c>
      <c r="O40" s="7">
        <f>O27-O38</f>
        <v>5098.4982451068936</v>
      </c>
      <c r="Q40" s="7">
        <f>Q27-Q38</f>
        <v>41848.323618888113</v>
      </c>
      <c r="R40">
        <v>7</v>
      </c>
      <c r="S40" t="s">
        <v>118</v>
      </c>
      <c r="Y40" s="94">
        <f>(Y27-Historical!T30)/Historical!T30</f>
        <v>2.8324485907608051E-2</v>
      </c>
      <c r="Z40" s="95"/>
      <c r="AA40" s="95">
        <f>(AA27-Y27)/Y27</f>
        <v>6.0185625477014233E-2</v>
      </c>
      <c r="AB40" s="95"/>
      <c r="AC40" s="95">
        <f>(AC27-AA27)/AA27</f>
        <v>9.4720597377118826E-2</v>
      </c>
      <c r="AD40" s="95"/>
      <c r="AE40" s="95">
        <f>(AE27-AC27)/AC27</f>
        <v>4.6863411098948217E-3</v>
      </c>
      <c r="AF40" s="95"/>
      <c r="AG40" s="95">
        <f>(AG27-AE27)/AE27</f>
        <v>7.2011777857501555E-2</v>
      </c>
    </row>
    <row r="41" spans="2:33">
      <c r="R41" s="113">
        <v>8</v>
      </c>
      <c r="S41" s="113" t="s">
        <v>364</v>
      </c>
      <c r="T41" s="113"/>
      <c r="U41" s="113"/>
      <c r="V41" s="113"/>
      <c r="W41" s="113"/>
      <c r="X41" s="113"/>
      <c r="Y41" s="95">
        <f>Y40</f>
        <v>2.8324485907608051E-2</v>
      </c>
      <c r="AA41" s="95">
        <f>AA40</f>
        <v>6.0185625477014233E-2</v>
      </c>
      <c r="AC41" s="95">
        <f>AC40</f>
        <v>9.4720597377118826E-2</v>
      </c>
      <c r="AE41" s="95">
        <f>AE40</f>
        <v>4.6863411098948217E-3</v>
      </c>
      <c r="AG41" s="95">
        <f>AG40</f>
        <v>7.2011777857501555E-2</v>
      </c>
    </row>
    <row r="42" spans="2:33">
      <c r="B42" s="6" t="s">
        <v>168</v>
      </c>
      <c r="R42">
        <v>11</v>
      </c>
      <c r="S42" t="s">
        <v>119</v>
      </c>
      <c r="Y42" s="94">
        <f>(Y22-Historical!T24)/xModel!Y27</f>
        <v>9.0040513693569149E-2</v>
      </c>
      <c r="AA42" s="94">
        <f>(AA22-Y22)/Y27</f>
        <v>2.0406848967773991E-2</v>
      </c>
      <c r="AC42" s="94">
        <f>(AC22-AA22)/AA27</f>
        <v>-8.8721524071487846E-3</v>
      </c>
      <c r="AE42" s="94">
        <f>(AE22-AC22)/AC27</f>
        <v>2.328000951283046E-3</v>
      </c>
      <c r="AG42" s="94">
        <f>(AG22-AE22)/AE27</f>
        <v>-1.7110470188009513E-2</v>
      </c>
    </row>
    <row r="43" spans="2:33">
      <c r="R43">
        <v>6</v>
      </c>
      <c r="S43" t="s">
        <v>280</v>
      </c>
      <c r="Y43" s="94">
        <f>I44/Y27</f>
        <v>8.932856219003521E-2</v>
      </c>
      <c r="AA43" s="94">
        <f>K44/AA27</f>
        <v>8.1217405869480994E-2</v>
      </c>
      <c r="AC43" s="94">
        <f>M44/AC27</f>
        <v>7.2399178584110352E-2</v>
      </c>
      <c r="AE43" s="94">
        <f>O44/AE27</f>
        <v>1.1085228397739756E-3</v>
      </c>
      <c r="AG43" s="94">
        <f>Q44/AG27</f>
        <v>3.9947855563641291E-2</v>
      </c>
    </row>
    <row r="44" spans="2:33">
      <c r="C44" t="s">
        <v>279</v>
      </c>
      <c r="I44" s="122">
        <f>(Historical!T9+Historical!T10+Historical!T15)*'Setup 2'!I62</f>
        <v>109839.91395351345</v>
      </c>
      <c r="K44" s="7">
        <f>(Y10+Y13+Y14)*'Setup 2'!J62</f>
        <v>105876.81432901876</v>
      </c>
      <c r="M44" s="7">
        <f>(AA10+AA13+AA14)*'Setup 2'!K62</f>
        <v>103321.01886658167</v>
      </c>
      <c r="O44" s="7">
        <f>(AC10+AC13+AC14)*'Setup 2'!L62</f>
        <v>1589.3889340019321</v>
      </c>
      <c r="Q44" s="7">
        <f>(AE10+AE13+AE14)*'Setup 2'!M62</f>
        <v>61401.441508058262</v>
      </c>
      <c r="S44" t="s">
        <v>124</v>
      </c>
      <c r="Y44" s="94">
        <f>I45/I40</f>
        <v>0</v>
      </c>
      <c r="AA44" s="94">
        <f>K45/K40</f>
        <v>0</v>
      </c>
      <c r="AC44" s="94">
        <f>M45/M40</f>
        <v>0</v>
      </c>
      <c r="AE44" s="94">
        <f>O45/O40</f>
        <v>0</v>
      </c>
      <c r="AG44" s="94">
        <f>Q45/Q40</f>
        <v>0</v>
      </c>
    </row>
    <row r="45" spans="2:33" ht="15" thickBot="1">
      <c r="C45" t="s">
        <v>194</v>
      </c>
      <c r="I45" s="54">
        <f>(I40+I23)*'Setup 2'!I60</f>
        <v>0</v>
      </c>
      <c r="K45" s="54">
        <f>(K40+K23)*'Setup 2'!J60</f>
        <v>0</v>
      </c>
      <c r="M45" s="54">
        <f>(M40+M23)*'Setup 2'!K60</f>
        <v>0</v>
      </c>
      <c r="O45" s="54">
        <f>(O40+O23)*'Setup 2'!L60</f>
        <v>0</v>
      </c>
      <c r="Q45" s="54">
        <f>(Q40+Q23)*'Setup 2'!M60</f>
        <v>0</v>
      </c>
      <c r="S45" t="s">
        <v>127</v>
      </c>
      <c r="Y45" s="94">
        <f>(Y22-Historical!T24)/xModel!Y27</f>
        <v>9.0040513693569149E-2</v>
      </c>
      <c r="AA45" s="94">
        <f>(AA22-Y22)/Y27</f>
        <v>2.0406848967773991E-2</v>
      </c>
      <c r="AC45" s="94">
        <f>(AC22-AA22)/AA27</f>
        <v>-8.8721524071487846E-3</v>
      </c>
      <c r="AE45" s="94">
        <f>(AE22-AC22)/AC27</f>
        <v>2.328000951283046E-3</v>
      </c>
      <c r="AG45" s="94">
        <f>(AG22-AE22)/AE27</f>
        <v>-1.7110470188009513E-2</v>
      </c>
    </row>
    <row r="46" spans="2:33" ht="15" thickTop="1">
      <c r="R46">
        <v>9</v>
      </c>
      <c r="S46" t="s">
        <v>128</v>
      </c>
      <c r="Y46" s="94">
        <f>Y25/(Y10+Y13)</f>
        <v>2.7926060058315367</v>
      </c>
      <c r="AA46" s="94">
        <f>AA25/(AA10+AA13)</f>
        <v>2.1279784421423149</v>
      </c>
      <c r="AC46" s="94">
        <f>AC25/(AC10+AC13)</f>
        <v>1.618919467604814</v>
      </c>
      <c r="AE46" s="94">
        <f>AE25/(AE10+AE13)</f>
        <v>1.5931812839451909</v>
      </c>
      <c r="AG46" s="94">
        <f>AG25/(AG10+AG13)</f>
        <v>1.3343337574559744</v>
      </c>
    </row>
    <row r="47" spans="2:33">
      <c r="C47" t="s">
        <v>195</v>
      </c>
      <c r="I47" s="7">
        <f>I44+I45</f>
        <v>109839.91395351345</v>
      </c>
      <c r="K47" s="7">
        <f>K44+K45</f>
        <v>105876.81432901876</v>
      </c>
      <c r="M47" s="7">
        <f>M44+M45</f>
        <v>103321.01886658167</v>
      </c>
      <c r="O47" s="7">
        <f>O44+O45</f>
        <v>1589.3889340019321</v>
      </c>
      <c r="Q47" s="7">
        <f>Q44+Q45</f>
        <v>61401.441508058262</v>
      </c>
      <c r="S47" t="s">
        <v>73</v>
      </c>
      <c r="Y47" s="94">
        <f>I25/I16</f>
        <v>1.0261838100341627</v>
      </c>
      <c r="AA47" s="94">
        <f>K25/K16</f>
        <v>0.86046340716328096</v>
      </c>
      <c r="AC47" s="94">
        <f>M25/M16</f>
        <v>0.67352330451917186</v>
      </c>
      <c r="AE47" s="94">
        <f>O25/O16</f>
        <v>0.72357154334568408</v>
      </c>
      <c r="AG47" s="94">
        <f>Q25/Q16</f>
        <v>0.59713528035234897</v>
      </c>
    </row>
    <row r="48" spans="2:33">
      <c r="S48" t="s">
        <v>132</v>
      </c>
      <c r="Y48" s="94">
        <f>I38/I16</f>
        <v>0.25186292711986191</v>
      </c>
      <c r="AA48" s="94">
        <f>K38/K16</f>
        <v>0.2539803018371955</v>
      </c>
      <c r="AC48" s="94">
        <f>M38/M16</f>
        <v>0.25560385040069816</v>
      </c>
      <c r="AE48" s="94">
        <f>O38/O16</f>
        <v>0.25877442878444634</v>
      </c>
      <c r="AG48" s="94">
        <f>Q38/Q16</f>
        <v>0.26080222803328773</v>
      </c>
    </row>
    <row r="49" spans="2:33">
      <c r="B49" s="6" t="s">
        <v>347</v>
      </c>
      <c r="S49" t="s">
        <v>134</v>
      </c>
      <c r="Y49" s="94">
        <f>I55/I16</f>
        <v>0</v>
      </c>
      <c r="AA49" s="94">
        <f>K55/K16</f>
        <v>0</v>
      </c>
      <c r="AC49" s="94">
        <f>M55/M16</f>
        <v>0</v>
      </c>
      <c r="AE49" s="94">
        <f>O55/O16</f>
        <v>0</v>
      </c>
      <c r="AG49" s="94">
        <f>Q55/Q16</f>
        <v>0</v>
      </c>
    </row>
    <row r="50" spans="2:33">
      <c r="C50" t="s">
        <v>347</v>
      </c>
      <c r="I50" s="7">
        <f>Y17*'Setup 2'!I65</f>
        <v>0</v>
      </c>
      <c r="K50" s="7">
        <f>AA17*'Setup 2'!J65</f>
        <v>0</v>
      </c>
      <c r="M50" s="7">
        <f>AC17*'Setup 2'!K65</f>
        <v>0</v>
      </c>
      <c r="O50" s="7">
        <f>AE17*'Setup 2'!L65</f>
        <v>0</v>
      </c>
      <c r="Q50" s="7">
        <f>AG17*'Setup 2'!M65</f>
        <v>0</v>
      </c>
      <c r="S50" t="s">
        <v>135</v>
      </c>
      <c r="Y50" s="94">
        <f>Y47+Y48+Y48</f>
        <v>1.5299096642738865</v>
      </c>
      <c r="AA50" s="94">
        <f>AA47+AA48+AA48</f>
        <v>1.368424010837672</v>
      </c>
      <c r="AC50" s="94">
        <f>AC47+AC48+AC48</f>
        <v>1.1847310053205682</v>
      </c>
      <c r="AE50" s="94">
        <f>AE47+AE48+AE48</f>
        <v>1.2411204009145766</v>
      </c>
      <c r="AG50" s="94">
        <f>AG47+AG48+AG48</f>
        <v>1.1187397364189244</v>
      </c>
    </row>
    <row r="51" spans="2:33">
      <c r="S51" t="s">
        <v>47</v>
      </c>
      <c r="Y51" s="94">
        <f>I47/I16</f>
        <v>0.4020039636130055</v>
      </c>
      <c r="AA51" s="94">
        <f>K47/K16</f>
        <v>0.38018030539897529</v>
      </c>
      <c r="AC51" s="94">
        <f>M47/M16</f>
        <v>0.36324752842441865</v>
      </c>
      <c r="AE51" s="94">
        <f>O47/O16</f>
        <v>5.5034080994067472E-3</v>
      </c>
      <c r="AG51" s="94">
        <f>Q47/Q16</f>
        <v>0.20843945503736541</v>
      </c>
    </row>
    <row r="52" spans="2:33">
      <c r="S52" t="s">
        <v>114</v>
      </c>
      <c r="Y52" s="94">
        <f>Y50-Y51</f>
        <v>1.127905700660881</v>
      </c>
      <c r="AA52" s="94">
        <f>AA50-AA51</f>
        <v>0.98824370543869666</v>
      </c>
      <c r="AC52" s="94">
        <f>AC50-AC51</f>
        <v>0.82148347689614953</v>
      </c>
      <c r="AE52" s="94">
        <f>AE50-AE51</f>
        <v>1.2356169928151699</v>
      </c>
      <c r="AG52" s="94">
        <f>AG50-AG51</f>
        <v>0.91030028138155905</v>
      </c>
    </row>
    <row r="53" spans="2:33">
      <c r="B53" s="6" t="s">
        <v>112</v>
      </c>
      <c r="I53" s="7">
        <f>I47+I40</f>
        <v>33868.947375050571</v>
      </c>
      <c r="K53" s="7">
        <f>K47+K40</f>
        <v>74005.265074904339</v>
      </c>
      <c r="M53" s="7">
        <f>M47+M40</f>
        <v>123479.87471734091</v>
      </c>
      <c r="O53" s="7">
        <f>O47+O40</f>
        <v>6687.8871791088259</v>
      </c>
      <c r="Q53" s="7">
        <f>Q47+Q40</f>
        <v>103249.76512694638</v>
      </c>
      <c r="R53" s="113">
        <v>5</v>
      </c>
      <c r="S53" s="113" t="s">
        <v>362</v>
      </c>
      <c r="T53" s="113"/>
      <c r="U53" s="113"/>
      <c r="V53" s="113"/>
      <c r="W53" s="113"/>
      <c r="X53" s="113"/>
      <c r="Y53" s="3">
        <f>Y80+Y83-Y85</f>
        <v>0.21426476482606308</v>
      </c>
      <c r="AA53" s="3">
        <f>AA80+AA83-AA85</f>
        <v>0.94977357913613347</v>
      </c>
      <c r="AC53" s="3">
        <f>AC80+AC83-AC85</f>
        <v>0.90855748427238892</v>
      </c>
      <c r="AE53" s="3">
        <f>AE80+AE83-AE85</f>
        <v>1.0912925457508313</v>
      </c>
      <c r="AG53" s="3">
        <f>AG80+AG83-AG85</f>
        <v>1.1002636520532589</v>
      </c>
    </row>
    <row r="54" spans="2:33">
      <c r="B54" s="6"/>
      <c r="S54" t="s">
        <v>38</v>
      </c>
      <c r="Y54" s="94">
        <f>Y17/Y25</f>
        <v>2.5751671214088621</v>
      </c>
      <c r="AA54" s="94">
        <f>AA17/AA25</f>
        <v>2.617961466830717</v>
      </c>
      <c r="AC54" s="94">
        <f>AC17/AC25</f>
        <v>2.7970114852693762</v>
      </c>
      <c r="AE54" s="94">
        <f>AE17/AE25</f>
        <v>2.7979114314732407</v>
      </c>
      <c r="AG54" s="94">
        <f>AG17/AG25</f>
        <v>2.9885564095505566</v>
      </c>
    </row>
    <row r="55" spans="2:33">
      <c r="B55" s="6" t="s">
        <v>196</v>
      </c>
      <c r="I55" s="7">
        <f>'Setup 2'!I70*xModel!I53</f>
        <v>0</v>
      </c>
      <c r="K55" s="7">
        <f>'Setup 2'!J70*xModel!K53</f>
        <v>0</v>
      </c>
      <c r="M55" s="7">
        <f>'Setup 2'!K70*xModel!M53</f>
        <v>0</v>
      </c>
      <c r="O55" s="7">
        <f>'Setup 2'!L70*xModel!O53</f>
        <v>0</v>
      </c>
      <c r="Q55" s="7">
        <f>'Setup 2'!M70*xModel!Q53</f>
        <v>0</v>
      </c>
      <c r="S55" t="s">
        <v>39</v>
      </c>
      <c r="Y55" s="7">
        <f>I16-I22-I38-I55</f>
        <v>34744.375009505064</v>
      </c>
      <c r="AA55" s="7">
        <f>K16-K22-K38-K55</f>
        <v>-6778.9419208164618</v>
      </c>
      <c r="AC55" s="7">
        <f>M16-M22-M38-M55</f>
        <v>8592.9209005587472</v>
      </c>
      <c r="AE55" s="7">
        <f>O16-O22-O38-O55</f>
        <v>8420.793261610379</v>
      </c>
      <c r="AG55" s="7">
        <f>Q16-Q22-Q38-Q55</f>
        <v>17315.503006967032</v>
      </c>
    </row>
    <row r="56" spans="2:33">
      <c r="B56" s="6"/>
      <c r="S56" t="s">
        <v>44</v>
      </c>
      <c r="Y56" s="7">
        <f>Y55-I57</f>
        <v>34744.375009505064</v>
      </c>
      <c r="AA56" s="7">
        <f>AA55-K57</f>
        <v>-6778.9419208164618</v>
      </c>
      <c r="AC56" s="7">
        <f>AC55-M57</f>
        <v>8592.9209005587472</v>
      </c>
      <c r="AE56" s="7">
        <f>AE55-O57</f>
        <v>8420.793261610379</v>
      </c>
      <c r="AG56" s="7">
        <f>AG55-Q57</f>
        <v>17315.503006967032</v>
      </c>
    </row>
    <row r="57" spans="2:33" ht="18.75" customHeight="1">
      <c r="B57" s="6" t="s">
        <v>113</v>
      </c>
      <c r="I57" s="7">
        <f>(I53-I55)*'Setup 2'!I75</f>
        <v>0</v>
      </c>
      <c r="K57" s="7">
        <f>(K53-K55)*'Setup 2'!J75</f>
        <v>0</v>
      </c>
      <c r="M57" s="7">
        <f>(M53-M55)*'Setup 2'!K75</f>
        <v>0</v>
      </c>
      <c r="O57" s="7">
        <f>(O53-O55)*'Setup 2'!L75</f>
        <v>0</v>
      </c>
      <c r="Q57" s="7">
        <f>(Q53-Q55)*'Setup 2'!M75</f>
        <v>0</v>
      </c>
      <c r="S57" t="s">
        <v>51</v>
      </c>
      <c r="Y57" s="94">
        <f>I59/I16</f>
        <v>0.12395722645898077</v>
      </c>
      <c r="AA57" s="94">
        <f>K59/K16</f>
        <v>0.26573659639849878</v>
      </c>
      <c r="AC57" s="94">
        <f>M59/M16</f>
        <v>0.43412037350454863</v>
      </c>
      <c r="AE57" s="94">
        <f>O59/O16</f>
        <v>2.3157435969276299E-2</v>
      </c>
      <c r="AG57" s="94">
        <f>Q59/Q16</f>
        <v>0.35050194665172874</v>
      </c>
    </row>
    <row r="58" spans="2:33">
      <c r="B58" s="6"/>
      <c r="R58" s="113">
        <v>4</v>
      </c>
      <c r="S58" s="113" t="s">
        <v>315</v>
      </c>
      <c r="T58" s="113"/>
      <c r="U58" s="113"/>
      <c r="V58" s="113"/>
      <c r="W58" s="113"/>
      <c r="X58" s="113"/>
      <c r="Y58" s="55">
        <f>IF(OR(I11&lt;=0,I81="/0",I81&lt;=0),0,IF(AND(I81&gt;0,Y27&lt;=0),999,I12/I11*I18/Y27))</f>
        <v>0</v>
      </c>
      <c r="AA58" s="55">
        <f>IF(OR(K11&lt;=0,K81="/0",K81&lt;=0),0,IF(AND(K81&gt;0,AA27&lt;=0),999,K12/K11*K18/AA27))</f>
        <v>0</v>
      </c>
      <c r="AC58" s="55">
        <f>IF(OR(M11&lt;=0,M81="/0",M81&lt;=0),0,IF(AND(M81&gt;0,AC27&lt;=0),999,M12/M11*M18/AC27))</f>
        <v>0</v>
      </c>
      <c r="AE58" s="55">
        <f>IF(OR(O11&lt;=0,O81="/0",O81&lt;=0),0,IF(AND(O81&gt;0,AE27&lt;=0),999,O12/O11*O18/AE27))</f>
        <v>0</v>
      </c>
      <c r="AG58" s="55">
        <f>IF(OR(Q11&lt;=0,Q81="/0",Q81&lt;=0),0,IF(AND(Q81&gt;0,AG27&lt;=0),999,Q12/Q11*Q18/AG27))</f>
        <v>0</v>
      </c>
    </row>
    <row r="59" spans="2:33">
      <c r="B59" s="6" t="s">
        <v>162</v>
      </c>
      <c r="I59" s="7">
        <f>I53-I55-I57</f>
        <v>33868.947375050571</v>
      </c>
      <c r="K59" s="7">
        <f>K53-K55-K57</f>
        <v>74005.265074904339</v>
      </c>
      <c r="M59" s="7">
        <f>M53-M55-M57</f>
        <v>123479.87471734091</v>
      </c>
      <c r="O59" s="7">
        <f>O53-O55-O57</f>
        <v>6687.8871791088259</v>
      </c>
      <c r="Q59" s="7">
        <f>Q53-Q55-Q57</f>
        <v>103249.76512694638</v>
      </c>
      <c r="R59" s="113">
        <v>10</v>
      </c>
      <c r="S59" s="113" t="s">
        <v>318</v>
      </c>
      <c r="T59" s="113"/>
      <c r="U59" s="113"/>
      <c r="V59" s="113"/>
      <c r="W59" s="113"/>
      <c r="X59" s="113"/>
      <c r="Y59" s="55">
        <f>Y11/Y27</f>
        <v>0</v>
      </c>
      <c r="AA59" s="55">
        <f>AA11/AA27</f>
        <v>0</v>
      </c>
      <c r="AC59" s="55">
        <f>AC11/AC27</f>
        <v>0</v>
      </c>
      <c r="AE59" s="55">
        <f>AE11/AE27</f>
        <v>0</v>
      </c>
      <c r="AG59" s="55">
        <f>AG11/AG27</f>
        <v>0</v>
      </c>
    </row>
    <row r="60" spans="2:33">
      <c r="R60" s="113">
        <v>12</v>
      </c>
      <c r="S60" s="113" t="s">
        <v>320</v>
      </c>
      <c r="T60" s="113"/>
      <c r="U60" s="113"/>
      <c r="V60" s="113"/>
      <c r="W60" s="113"/>
      <c r="X60" s="113"/>
      <c r="Y60" s="20">
        <f>AN9/Y27</f>
        <v>0.23227179992734295</v>
      </c>
      <c r="AA60" s="20">
        <f>AP9/AA27</f>
        <v>0.19397717107476298</v>
      </c>
      <c r="AC60" s="20">
        <f>AR9/AC27</f>
        <v>9.4784195922150358E-3</v>
      </c>
      <c r="AE60" s="20">
        <f>AT9/AE27</f>
        <v>-5.7495449690634654E-3</v>
      </c>
      <c r="AG60" s="20">
        <f>AV9/AG27</f>
        <v>-1.3799594799471574E-2</v>
      </c>
    </row>
    <row r="61" spans="2:33">
      <c r="B61" s="32"/>
      <c r="C61" s="32"/>
      <c r="D61" s="32"/>
      <c r="E61" s="32"/>
      <c r="F61" s="32"/>
      <c r="G61" s="32"/>
      <c r="H61" s="32"/>
      <c r="I61" s="25"/>
      <c r="J61" s="32"/>
      <c r="K61" s="25"/>
      <c r="L61" s="32"/>
      <c r="M61" s="25"/>
      <c r="N61" s="32"/>
      <c r="O61" s="25"/>
      <c r="P61" s="32"/>
      <c r="Q61" s="25"/>
      <c r="R61" s="113">
        <v>13</v>
      </c>
      <c r="S61" s="113" t="s">
        <v>336</v>
      </c>
      <c r="T61" s="113"/>
      <c r="U61" s="113"/>
      <c r="V61" s="113"/>
      <c r="W61" s="113"/>
      <c r="X61" s="113"/>
      <c r="Y61" s="20">
        <f>Y73/Y27</f>
        <v>-0.23174967594514209</v>
      </c>
      <c r="AA61" s="20">
        <f>AA73/AA27</f>
        <v>-0.1158982354876601</v>
      </c>
      <c r="AC61" s="20">
        <f>AC73/AC27</f>
        <v>8.1734158606704948E-3</v>
      </c>
      <c r="AE61" s="20">
        <f>AE73/AE27</f>
        <v>6.8913314854698975E-3</v>
      </c>
      <c r="AG61" s="20">
        <f>AG73/AG27</f>
        <v>6.3877938409090456E-3</v>
      </c>
    </row>
    <row r="63" spans="2:33">
      <c r="S63" s="32"/>
      <c r="T63" s="32"/>
      <c r="U63" s="32"/>
      <c r="V63" s="32"/>
      <c r="W63" s="32"/>
      <c r="X63" s="32"/>
      <c r="Y63" s="25"/>
      <c r="Z63" s="32"/>
      <c r="AA63" s="25"/>
      <c r="AB63" s="32"/>
      <c r="AC63" s="25"/>
      <c r="AD63" s="32"/>
      <c r="AE63" s="25"/>
      <c r="AF63" s="32"/>
      <c r="AG63" s="25"/>
    </row>
    <row r="64" spans="2:33">
      <c r="B64" t="s">
        <v>221</v>
      </c>
    </row>
    <row r="65" spans="4:33">
      <c r="I65" s="92" t="s">
        <v>265</v>
      </c>
      <c r="J65" s="51"/>
      <c r="K65" s="92" t="s">
        <v>266</v>
      </c>
      <c r="L65" s="51"/>
      <c r="M65" s="92" t="s">
        <v>267</v>
      </c>
      <c r="N65" s="51"/>
      <c r="O65" s="92" t="s">
        <v>268</v>
      </c>
      <c r="P65" s="51"/>
      <c r="Q65" s="92" t="s">
        <v>269</v>
      </c>
    </row>
    <row r="66" spans="4:33">
      <c r="D66" t="s">
        <v>222</v>
      </c>
      <c r="I66" s="7">
        <f>Historical!AD26*(1+'Setup 2'!I46)</f>
        <v>10200000</v>
      </c>
      <c r="K66" s="7">
        <f>I66*(1+'Setup 2'!J46)</f>
        <v>10404000</v>
      </c>
      <c r="M66" s="7">
        <f>K66*(1+'Setup 2'!K46)</f>
        <v>10612080</v>
      </c>
      <c r="O66" s="7">
        <f>M66*(1+'Setup 2'!L46)</f>
        <v>10824321.6</v>
      </c>
      <c r="Q66" s="7">
        <f>O66*(1+'Setup 2'!M46)</f>
        <v>11040808.032</v>
      </c>
    </row>
    <row r="67" spans="4:33">
      <c r="D67" t="s">
        <v>264</v>
      </c>
      <c r="I67" s="112">
        <f>'xScenario Creator'!E7</f>
        <v>280385.14939407044</v>
      </c>
      <c r="K67" s="7">
        <f>'xScenario Creator'!F7</f>
        <v>239631.36202317107</v>
      </c>
      <c r="M67" s="7">
        <f>'xScenario Creator'!G7</f>
        <v>191574.91409549193</v>
      </c>
      <c r="O67" s="7">
        <f>'xScenario Creator'!H7</f>
        <v>208968.07635913842</v>
      </c>
      <c r="Q67" s="7">
        <f>'xScenario Creator'!I7</f>
        <v>175902.23972894219</v>
      </c>
      <c r="W67" t="s">
        <v>329</v>
      </c>
      <c r="Y67" s="7">
        <f>AN10+I23</f>
        <v>360548.34158796794</v>
      </c>
      <c r="AA67" s="7">
        <f>AP10+K23</f>
        <v>385640.9489212659</v>
      </c>
      <c r="AC67" s="7">
        <f>AR10+M23</f>
        <v>374075.0139710654</v>
      </c>
      <c r="AE67" s="7">
        <f>AT10+O23</f>
        <v>377397.30898756889</v>
      </c>
      <c r="AG67" s="7">
        <f>AV10+Q23</f>
        <v>352864.48837564781</v>
      </c>
    </row>
    <row r="68" spans="4:33">
      <c r="W68" t="s">
        <v>330</v>
      </c>
      <c r="Y68" s="7">
        <f>AN11+AN9</f>
        <v>418373.34158796794</v>
      </c>
      <c r="AA68" s="7">
        <f>AP11+AP9</f>
        <v>502705.9489212659</v>
      </c>
      <c r="AC68" s="7">
        <f>AR11+AR9</f>
        <v>374075.0139710654</v>
      </c>
      <c r="AE68" s="7">
        <f>AT11+AT9</f>
        <v>377397.30898756889</v>
      </c>
      <c r="AG68" s="7">
        <f>AV11+AV9</f>
        <v>352864.48837564781</v>
      </c>
    </row>
    <row r="69" spans="4:33">
      <c r="D69" t="s">
        <v>277</v>
      </c>
      <c r="W69" t="s">
        <v>331</v>
      </c>
      <c r="Y69" s="20">
        <f>Y68/Historical!H19</f>
        <v>0.35743344179586545</v>
      </c>
      <c r="AA69" s="20">
        <f>AA68/Historical!J19</f>
        <v>0.27304904174405276</v>
      </c>
      <c r="AB69" s="20"/>
      <c r="AC69" s="20">
        <f>AC68/I16</f>
        <v>1.3690800811133421</v>
      </c>
      <c r="AD69" s="20"/>
      <c r="AE69" s="20">
        <f>AE68/K16</f>
        <v>1.3551505596095423</v>
      </c>
      <c r="AF69" s="20"/>
      <c r="AG69" s="20">
        <f>AG68/M16</f>
        <v>1.2405719056711599</v>
      </c>
    </row>
    <row r="70" spans="4:33">
      <c r="R70" s="96" t="s">
        <v>276</v>
      </c>
      <c r="W70" t="s">
        <v>332</v>
      </c>
      <c r="Y70" s="20">
        <f>Y67/Historical!J19</f>
        <v>0.19583491976622885</v>
      </c>
      <c r="AA70" s="20">
        <f>AA67/I16</f>
        <v>1.4114103372608349</v>
      </c>
      <c r="AC70" s="20">
        <f>AC67/K16</f>
        <v>1.3432209304267571</v>
      </c>
      <c r="AE70" s="20">
        <f>AE67/M16</f>
        <v>1.3268223758109032</v>
      </c>
      <c r="AG70" s="20">
        <f>AG67/O16</f>
        <v>1.2218263521125017</v>
      </c>
    </row>
    <row r="71" spans="4:33">
      <c r="D71" t="s">
        <v>271</v>
      </c>
      <c r="H71" s="95">
        <f>xReserves!E37</f>
        <v>0.32</v>
      </c>
      <c r="I71" s="7">
        <f>(Historical!T24+xModel!I67)*H71</f>
        <v>169669.80780610256</v>
      </c>
      <c r="R71" s="7">
        <f>SUM(I71:Q71)</f>
        <v>169669.80780610256</v>
      </c>
      <c r="W71" s="116" t="s">
        <v>337</v>
      </c>
      <c r="Y71" s="3">
        <f>AVERAGE(Y70,Y69)</f>
        <v>0.27663418078104718</v>
      </c>
      <c r="AA71" s="3">
        <f>AVERAGE(AA70,AA69)</f>
        <v>0.84222968950244381</v>
      </c>
      <c r="AC71" s="3">
        <f>AVERAGE(AC70,AC69)</f>
        <v>1.3561505057700496</v>
      </c>
      <c r="AE71" s="3">
        <f>AVERAGE(AE70,AE69)</f>
        <v>1.3409864677102228</v>
      </c>
      <c r="AG71" s="3">
        <f>AVERAGE(AG70,AG69)</f>
        <v>1.2311991288918307</v>
      </c>
    </row>
    <row r="72" spans="4:33">
      <c r="D72" t="s">
        <v>272</v>
      </c>
      <c r="H72" s="95">
        <f>xReserves!E38</f>
        <v>0.26</v>
      </c>
      <c r="I72" s="7">
        <f>(Historical!T24+xModel!I67)*H72</f>
        <v>137856.71884245833</v>
      </c>
      <c r="K72" s="7">
        <f>K$67*H71</f>
        <v>76682.035847414736</v>
      </c>
      <c r="R72" s="7">
        <f>SUM(I72:Q72)</f>
        <v>214538.75468987308</v>
      </c>
      <c r="W72" t="s">
        <v>334</v>
      </c>
      <c r="Y72" s="117">
        <f>I16*Y71</f>
        <v>75585.012497145144</v>
      </c>
      <c r="AA72" s="117">
        <f>K16*AA71</f>
        <v>234553.43475579657</v>
      </c>
      <c r="AC72" s="117">
        <f>M16*AC71</f>
        <v>385739.31280511455</v>
      </c>
      <c r="AE72" s="117">
        <f>O16*AE71</f>
        <v>387278.03098133334</v>
      </c>
      <c r="AG72" s="117">
        <f>Q16*AG71</f>
        <v>362682.78135668812</v>
      </c>
    </row>
    <row r="73" spans="4:33">
      <c r="D73" t="s">
        <v>273</v>
      </c>
      <c r="H73" s="95">
        <f>xReserves!E39</f>
        <v>0.15</v>
      </c>
      <c r="I73" s="7">
        <f>(Historical!T24+xModel!I67)*H73</f>
        <v>79532.722409110575</v>
      </c>
      <c r="K73" s="7">
        <f>K$67*H72</f>
        <v>62304.154126024478</v>
      </c>
      <c r="M73" s="7">
        <f>M67*H71</f>
        <v>61303.972510557418</v>
      </c>
      <c r="R73" s="7">
        <f>SUM(I73:Q73)</f>
        <v>203140.84904569248</v>
      </c>
      <c r="W73" t="s">
        <v>335</v>
      </c>
      <c r="Y73" s="7">
        <f>Y72-Y22</f>
        <v>-284963.32909082278</v>
      </c>
      <c r="AA73" s="7">
        <f>AA72-AA22</f>
        <v>-151087.51416546933</v>
      </c>
      <c r="AC73" s="7">
        <f>AC72-AC22</f>
        <v>11664.298834049143</v>
      </c>
      <c r="AE73" s="7">
        <f>AE72-AE22</f>
        <v>9880.721993764455</v>
      </c>
      <c r="AG73" s="7">
        <f>AG72-AG22</f>
        <v>9818.2929810403148</v>
      </c>
    </row>
    <row r="74" spans="4:33">
      <c r="D74" t="s">
        <v>274</v>
      </c>
      <c r="H74" s="95">
        <f>xReserves!E40</f>
        <v>0.1</v>
      </c>
      <c r="I74" s="7">
        <f>(Historical!T24+xModel!I67)*H74</f>
        <v>53021.81493940705</v>
      </c>
      <c r="K74" s="7">
        <f>K$67*H73</f>
        <v>35944.704303475657</v>
      </c>
      <c r="M74" s="7">
        <f>M67*H72</f>
        <v>49809.4776648279</v>
      </c>
      <c r="O74" s="7">
        <f>O67*H71</f>
        <v>66869.784434924295</v>
      </c>
      <c r="R74" s="7">
        <f>SUM(I74:Q74)</f>
        <v>205645.78134263487</v>
      </c>
    </row>
    <row r="75" spans="4:33">
      <c r="D75" t="s">
        <v>275</v>
      </c>
      <c r="H75" s="95">
        <f>xReserves!E41</f>
        <v>7.0000000000000007E-2</v>
      </c>
      <c r="I75" s="7">
        <f>(Historical!T24+xModel!I67)*H75</f>
        <v>37115.270457584935</v>
      </c>
      <c r="K75" s="7">
        <f>K$67*H74</f>
        <v>23963.13620231711</v>
      </c>
      <c r="M75" s="7">
        <f>M67*H73</f>
        <v>28736.237114323787</v>
      </c>
      <c r="O75" s="7">
        <f>O67*H72</f>
        <v>54331.699853375991</v>
      </c>
      <c r="Q75" s="7">
        <f>Q67*H71</f>
        <v>56288.7167132615</v>
      </c>
      <c r="R75" s="7">
        <f>SUM(I75:Q75)</f>
        <v>200435.0603408633</v>
      </c>
    </row>
    <row r="77" spans="4:33">
      <c r="I77" s="7">
        <f>(xModel!I67)</f>
        <v>280385.14939407044</v>
      </c>
      <c r="W77" s="136" t="s">
        <v>349</v>
      </c>
      <c r="X77" s="137"/>
      <c r="Y77" s="137"/>
      <c r="Z77" s="137"/>
      <c r="AA77" s="137"/>
      <c r="AB77" s="137"/>
      <c r="AC77" s="138"/>
      <c r="AD77" s="137"/>
      <c r="AE77" s="138"/>
      <c r="AF77" s="137"/>
      <c r="AG77" s="139"/>
    </row>
    <row r="78" spans="4:33">
      <c r="W78" s="140" t="s">
        <v>350</v>
      </c>
      <c r="X78" s="104"/>
      <c r="Y78" s="141">
        <f>I25+I55+AN10+AN15</f>
        <v>530218.1493940705</v>
      </c>
      <c r="Z78" s="104"/>
      <c r="AA78" s="141">
        <f>K25+K55+AP10+AP15</f>
        <v>600179.70361113898</v>
      </c>
      <c r="AB78" s="104"/>
      <c r="AC78" s="141">
        <f>M25+M55+AR10+AR15</f>
        <v>577215.86301675788</v>
      </c>
      <c r="AD78" s="104"/>
      <c r="AE78" s="141">
        <f>O25+O55+AT10+AT15</f>
        <v>583043.09033020376</v>
      </c>
      <c r="AF78" s="104"/>
      <c r="AG78" s="141">
        <f>Q25+Q55+AV10+AV15</f>
        <v>553299.54871651111</v>
      </c>
    </row>
    <row r="79" spans="4:33">
      <c r="H79">
        <f>ROW(Payroll1)</f>
        <v>66</v>
      </c>
      <c r="W79" s="140" t="s">
        <v>352</v>
      </c>
      <c r="X79" s="104"/>
      <c r="Y79" s="141">
        <f>I16+AN12</f>
        <v>2114313.9228156079</v>
      </c>
      <c r="Z79" s="104"/>
      <c r="AA79" s="141">
        <f>K16+AP12</f>
        <v>551721.97778466425</v>
      </c>
      <c r="AB79" s="104"/>
      <c r="AC79" s="141">
        <f>M16+AR12</f>
        <v>562928.00438130787</v>
      </c>
      <c r="AD79" s="104"/>
      <c r="AE79" s="141">
        <f>O16+AT12</f>
        <v>573237.79886647651</v>
      </c>
      <c r="AF79" s="104"/>
      <c r="AG79" s="141">
        <f>Q16+AV12</f>
        <v>583377.71589753497</v>
      </c>
    </row>
    <row r="80" spans="4:33">
      <c r="W80" s="140" t="s">
        <v>353</v>
      </c>
      <c r="X80" s="104"/>
      <c r="Y80" s="147">
        <f>Y78/Y79</f>
        <v>0.25077550862834269</v>
      </c>
      <c r="Z80" s="104"/>
      <c r="AA80" s="147">
        <f>AA78/AA79</f>
        <v>1.0878299719381266</v>
      </c>
      <c r="AB80" s="104"/>
      <c r="AC80" s="147">
        <f>AC78/AC79</f>
        <v>1.0253813250082544</v>
      </c>
      <c r="AD80" s="104"/>
      <c r="AE80" s="147">
        <f>AE78/AE79</f>
        <v>1.0171051027743045</v>
      </c>
      <c r="AF80" s="104"/>
      <c r="AG80" s="147">
        <f>AG78/AG79</f>
        <v>0.94844135049836764</v>
      </c>
    </row>
    <row r="81" spans="4:33">
      <c r="I81" s="103">
        <f>IF(I11=0,"/0", I18/I11*I33)</f>
        <v>0</v>
      </c>
      <c r="K81" s="103">
        <f>IF(K11=0,"/0", K18/K11*K33)</f>
        <v>0</v>
      </c>
      <c r="M81" s="103">
        <f>IF(M11=0,"/0", M18/M11*M33)</f>
        <v>0</v>
      </c>
      <c r="O81" s="103">
        <f>IF(O11=0,"/0", O18/O11*O33)</f>
        <v>0</v>
      </c>
      <c r="Q81" s="103">
        <f>IF(Q11=0,"/0", Q18/Q11*Q33)</f>
        <v>0</v>
      </c>
      <c r="W81" s="140" t="s">
        <v>354</v>
      </c>
      <c r="X81" s="104"/>
      <c r="Y81" s="141">
        <f>I38+AN16-I50-AN17</f>
        <v>135774.74</v>
      </c>
      <c r="Z81" s="104"/>
      <c r="AA81" s="141">
        <f>K38+AP16-K50-AP17</f>
        <v>139547.98220000003</v>
      </c>
      <c r="AB81" s="104"/>
      <c r="AC81" s="141">
        <f>M38+AR16-M50-AR17</f>
        <v>143434.42166600004</v>
      </c>
      <c r="AD81" s="104"/>
      <c r="AE81" s="141">
        <f>O38+AT16-O50-AT17</f>
        <v>147437.45431598002</v>
      </c>
      <c r="AF81" s="104"/>
      <c r="AG81" s="141">
        <f>Q38+AV16-Q50-AV17</f>
        <v>151560.57794545946</v>
      </c>
    </row>
    <row r="82" spans="4:33">
      <c r="D82" t="s">
        <v>316</v>
      </c>
      <c r="W82" s="140" t="s">
        <v>356</v>
      </c>
      <c r="X82" s="104"/>
      <c r="Y82" s="141">
        <f>I16+AN12</f>
        <v>2114313.9228156079</v>
      </c>
      <c r="Z82" s="104"/>
      <c r="AA82" s="141">
        <f>K16+AP12</f>
        <v>551721.97778466425</v>
      </c>
      <c r="AB82" s="104"/>
      <c r="AC82" s="141">
        <f>M16+AR12</f>
        <v>562928.00438130787</v>
      </c>
      <c r="AD82" s="104"/>
      <c r="AE82" s="141">
        <f>O16+AT12</f>
        <v>573237.79886647651</v>
      </c>
      <c r="AF82" s="104"/>
      <c r="AG82" s="141">
        <f>Q16+AV12</f>
        <v>583377.71589753497</v>
      </c>
    </row>
    <row r="83" spans="4:33">
      <c r="H83" t="s">
        <v>365</v>
      </c>
      <c r="I83" s="7" t="s">
        <v>368</v>
      </c>
      <c r="K83" s="7" t="s">
        <v>369</v>
      </c>
      <c r="M83" s="7" t="s">
        <v>370</v>
      </c>
      <c r="O83" s="7" t="s">
        <v>376</v>
      </c>
      <c r="W83" s="140" t="s">
        <v>358</v>
      </c>
      <c r="X83" s="104"/>
      <c r="Y83" s="147">
        <f>Y81/Y82</f>
        <v>6.4216925658414206E-2</v>
      </c>
      <c r="Z83" s="104"/>
      <c r="AA83" s="147">
        <f>AA81/AA82</f>
        <v>0.2529317080322388</v>
      </c>
      <c r="AB83" s="104"/>
      <c r="AC83" s="147">
        <f>AC81/AC82</f>
        <v>0.25480065043778233</v>
      </c>
      <c r="AD83" s="104"/>
      <c r="AE83" s="147">
        <f>AE81/AE82</f>
        <v>0.25720120795858825</v>
      </c>
      <c r="AF83" s="104"/>
      <c r="AG83" s="147">
        <f>AG81/AG82</f>
        <v>0.25979836701900988</v>
      </c>
    </row>
    <row r="84" spans="4:33">
      <c r="D84" t="s">
        <v>366</v>
      </c>
      <c r="H84" s="152">
        <v>0.31150871515274048</v>
      </c>
      <c r="I84" s="152">
        <v>11.806308853470915</v>
      </c>
      <c r="J84" s="152"/>
      <c r="K84" s="152">
        <v>0.29356037920852401</v>
      </c>
      <c r="L84" s="152"/>
      <c r="M84" s="152">
        <f>LOGINV(H84,I84,K84)*O84</f>
        <v>162506.47960140265</v>
      </c>
      <c r="O84" s="7">
        <f>HLOOKUP(retention_5years,xReserves!$K$7:$Q$8,2,FALSE)</f>
        <v>1.4</v>
      </c>
      <c r="W84" s="140" t="s">
        <v>359</v>
      </c>
      <c r="X84" s="104"/>
      <c r="Y84" s="141">
        <f>I47+AN18</f>
        <v>212969.91395351343</v>
      </c>
      <c r="Z84" s="104"/>
      <c r="AA84" s="141">
        <f>K47+AP18</f>
        <v>215716.72828253219</v>
      </c>
      <c r="AB84" s="104"/>
      <c r="AC84" s="141">
        <f>M47+AR18</f>
        <v>209197.83319560043</v>
      </c>
      <c r="AD84" s="104"/>
      <c r="AE84" s="141">
        <f>O47+AT18</f>
        <v>104910.40780058361</v>
      </c>
      <c r="AF84" s="104"/>
      <c r="AG84" s="141">
        <f>Q47+AV18</f>
        <v>62990.830442060193</v>
      </c>
    </row>
    <row r="85" spans="4:33">
      <c r="D85" t="s">
        <v>367</v>
      </c>
      <c r="H85" s="152">
        <v>0.46785974502563477</v>
      </c>
      <c r="I85" s="152">
        <v>0.03</v>
      </c>
      <c r="J85" s="152"/>
      <c r="K85" s="152">
        <v>0.03</v>
      </c>
      <c r="L85" s="152"/>
      <c r="M85" s="152">
        <f>_xlfn.NORM.INV(H85,I85,K85)</f>
        <v>2.758046939316491E-2</v>
      </c>
      <c r="W85" s="140" t="s">
        <v>361</v>
      </c>
      <c r="X85" s="104"/>
      <c r="Y85" s="147">
        <f>Y84/Y79</f>
        <v>0.10072766946069381</v>
      </c>
      <c r="Z85" s="104"/>
      <c r="AA85" s="147">
        <f>AA84/AA79</f>
        <v>0.39098810083423197</v>
      </c>
      <c r="AB85" s="104"/>
      <c r="AC85" s="147">
        <f>AC84/AC79</f>
        <v>0.37162449117364765</v>
      </c>
      <c r="AD85" s="104"/>
      <c r="AE85" s="147">
        <f>AE84/AE79</f>
        <v>0.18301376498206157</v>
      </c>
      <c r="AF85" s="104"/>
      <c r="AG85" s="147">
        <f>AG84/AG79</f>
        <v>0.10797606546411856</v>
      </c>
    </row>
    <row r="86" spans="4:33">
      <c r="W86" s="140"/>
      <c r="X86" s="104"/>
      <c r="Y86" s="104"/>
      <c r="Z86" s="104"/>
      <c r="AA86" s="104"/>
      <c r="AB86" s="104"/>
      <c r="AC86" s="148"/>
      <c r="AD86" s="104"/>
      <c r="AE86" s="148"/>
      <c r="AF86" s="104"/>
      <c r="AG86" s="142"/>
    </row>
    <row r="87" spans="4:33">
      <c r="W87" s="140"/>
      <c r="X87" s="104"/>
      <c r="Y87" s="104"/>
      <c r="Z87" s="104"/>
      <c r="AA87" s="104"/>
      <c r="AB87" s="104"/>
      <c r="AC87" s="141"/>
      <c r="AD87" s="104"/>
      <c r="AE87" s="141"/>
      <c r="AF87" s="104"/>
      <c r="AG87" s="142"/>
    </row>
    <row r="88" spans="4:33">
      <c r="W88" s="140"/>
      <c r="X88" s="104"/>
      <c r="Y88" s="104"/>
      <c r="Z88" s="104"/>
      <c r="AA88" s="104"/>
      <c r="AB88" s="104"/>
      <c r="AC88" s="141"/>
      <c r="AD88" s="104"/>
      <c r="AE88" s="141"/>
      <c r="AF88" s="104"/>
      <c r="AG88" s="142"/>
    </row>
    <row r="89" spans="4:33">
      <c r="W89" s="143"/>
      <c r="X89" s="144"/>
      <c r="Y89" s="144"/>
      <c r="Z89" s="144"/>
      <c r="AA89" s="144"/>
      <c r="AB89" s="144"/>
      <c r="AC89" s="145"/>
      <c r="AD89" s="144"/>
      <c r="AE89" s="145"/>
      <c r="AF89" s="144"/>
      <c r="AG89" s="146"/>
    </row>
  </sheetData>
  <phoneticPr fontId="26" type="noConversion"/>
  <pageMargins left="0.7" right="0.7" top="0.75" bottom="0.75" header="0.3" footer="0.3"/>
  <pageSetup scale="4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AE49"/>
  <sheetViews>
    <sheetView topLeftCell="A37" workbookViewId="0">
      <selection activeCell="Q26" sqref="Q26"/>
    </sheetView>
  </sheetViews>
  <sheetFormatPr defaultColWidth="8.81640625" defaultRowHeight="14.5"/>
  <cols>
    <col min="1" max="1" width="8.81640625" style="16"/>
    <col min="2" max="5" width="2" customWidth="1"/>
    <col min="6" max="10" width="11.08984375" bestFit="1" customWidth="1"/>
    <col min="21" max="21" width="12.36328125" bestFit="1" customWidth="1"/>
  </cols>
  <sheetData>
    <row r="1" spans="1:23" ht="26">
      <c r="B1" s="5" t="str">
        <f>'1-Start'!C7</f>
        <v>American Captive Company</v>
      </c>
      <c r="H1" s="7"/>
      <c r="J1" s="7"/>
    </row>
    <row r="2" spans="1:23" ht="6.75" customHeight="1">
      <c r="H2" s="7"/>
      <c r="J2" s="7"/>
    </row>
    <row r="3" spans="1:23" ht="26">
      <c r="B3" s="5" t="s">
        <v>0</v>
      </c>
      <c r="H3" s="7"/>
      <c r="J3" s="7"/>
    </row>
    <row r="5" spans="1:23">
      <c r="B5" t="s">
        <v>310</v>
      </c>
    </row>
    <row r="6" spans="1:23">
      <c r="B6" t="s">
        <v>49</v>
      </c>
    </row>
    <row r="7" spans="1:23">
      <c r="B7" t="s">
        <v>1</v>
      </c>
    </row>
    <row r="9" spans="1:23">
      <c r="A9" s="16" t="s">
        <v>103</v>
      </c>
      <c r="B9" t="s">
        <v>50</v>
      </c>
      <c r="L9" s="57" t="s">
        <v>209</v>
      </c>
      <c r="M9" s="57"/>
      <c r="W9" s="38" t="s">
        <v>64</v>
      </c>
    </row>
    <row r="10" spans="1:23" ht="15" thickBot="1">
      <c r="I10" s="11"/>
    </row>
    <row r="11" spans="1:23" ht="15" thickTop="1">
      <c r="A11" s="17" t="s">
        <v>104</v>
      </c>
      <c r="B11" s="12" t="s">
        <v>66</v>
      </c>
      <c r="C11" s="13"/>
      <c r="P11" s="11"/>
    </row>
    <row r="12" spans="1:23">
      <c r="A12" s="17"/>
      <c r="P12" s="11"/>
    </row>
    <row r="13" spans="1:23">
      <c r="A13" s="17"/>
      <c r="C13" t="s">
        <v>2</v>
      </c>
      <c r="P13" s="11"/>
    </row>
    <row r="14" spans="1:23" ht="15" thickBot="1">
      <c r="A14" s="17"/>
      <c r="P14" s="11"/>
    </row>
    <row r="15" spans="1:23" ht="15.5" thickTop="1" thickBot="1">
      <c r="A15" s="17"/>
      <c r="C15" s="58"/>
      <c r="D15" t="s">
        <v>12</v>
      </c>
      <c r="T15" s="91" t="s">
        <v>262</v>
      </c>
      <c r="U15" s="75" t="s">
        <v>263</v>
      </c>
      <c r="W15" t="s">
        <v>261</v>
      </c>
    </row>
    <row r="16" spans="1:23" ht="15.5" thickTop="1" thickBot="1">
      <c r="A16" s="17" t="s">
        <v>311</v>
      </c>
      <c r="C16" s="58"/>
      <c r="D16" t="s">
        <v>160</v>
      </c>
      <c r="W16" t="s">
        <v>101</v>
      </c>
    </row>
    <row r="17" spans="1:31" ht="15.5" thickTop="1" thickBot="1">
      <c r="A17" s="17" t="s">
        <v>311</v>
      </c>
      <c r="C17" s="58"/>
      <c r="D17" t="s">
        <v>161</v>
      </c>
      <c r="W17" t="s">
        <v>102</v>
      </c>
    </row>
    <row r="18" spans="1:31" ht="15.5" thickTop="1" thickBot="1">
      <c r="A18" s="17"/>
      <c r="B18" s="14"/>
      <c r="C18" s="15"/>
    </row>
    <row r="19" spans="1:31" ht="15" thickTop="1"/>
    <row r="20" spans="1:31">
      <c r="A20" s="16" t="s">
        <v>105</v>
      </c>
      <c r="B20" t="s">
        <v>108</v>
      </c>
    </row>
    <row r="22" spans="1:31">
      <c r="C22" t="s">
        <v>155</v>
      </c>
      <c r="H22" t="s">
        <v>106</v>
      </c>
    </row>
    <row r="23" spans="1:31">
      <c r="C23" t="s">
        <v>156</v>
      </c>
      <c r="H23" s="57" t="s">
        <v>107</v>
      </c>
      <c r="J23" t="s">
        <v>13</v>
      </c>
    </row>
    <row r="24" spans="1:31">
      <c r="C24" t="s">
        <v>157</v>
      </c>
      <c r="H24" s="57" t="s">
        <v>107</v>
      </c>
      <c r="J24" t="s">
        <v>65</v>
      </c>
    </row>
    <row r="25" spans="1:31">
      <c r="C25" t="s">
        <v>158</v>
      </c>
      <c r="H25" s="57" t="s">
        <v>107</v>
      </c>
      <c r="J25" t="s">
        <v>65</v>
      </c>
    </row>
    <row r="26" spans="1:31">
      <c r="C26" t="s">
        <v>159</v>
      </c>
      <c r="H26" t="s">
        <v>106</v>
      </c>
      <c r="J26" t="s">
        <v>229</v>
      </c>
    </row>
    <row r="28" spans="1:31" ht="7.25" customHeight="1"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</row>
    <row r="29" spans="1:31">
      <c r="C29" t="s">
        <v>241</v>
      </c>
    </row>
    <row r="31" spans="1:31">
      <c r="F31" s="51" t="s">
        <v>96</v>
      </c>
      <c r="G31" s="51" t="s">
        <v>97</v>
      </c>
      <c r="H31" s="51" t="s">
        <v>98</v>
      </c>
      <c r="I31" s="51" t="s">
        <v>99</v>
      </c>
      <c r="J31" s="51" t="s">
        <v>100</v>
      </c>
    </row>
    <row r="32" spans="1:31">
      <c r="D32" t="s">
        <v>91</v>
      </c>
      <c r="F32" s="85">
        <v>0.59336</v>
      </c>
      <c r="G32" s="85">
        <v>0.59336</v>
      </c>
      <c r="H32" s="85">
        <v>0.59336</v>
      </c>
      <c r="I32" s="85">
        <v>0.59336</v>
      </c>
      <c r="J32" s="85">
        <v>0.59336</v>
      </c>
    </row>
    <row r="33" spans="3:10">
      <c r="D33" t="s">
        <v>92</v>
      </c>
      <c r="F33" s="85">
        <v>0.95</v>
      </c>
      <c r="G33" s="85">
        <v>0.59336</v>
      </c>
      <c r="H33" s="85">
        <v>0.59336</v>
      </c>
      <c r="I33" s="85">
        <v>0.95</v>
      </c>
      <c r="J33" s="85">
        <v>0.59336</v>
      </c>
    </row>
    <row r="34" spans="3:10">
      <c r="D34" t="s">
        <v>93</v>
      </c>
      <c r="F34" s="85">
        <v>0.65</v>
      </c>
      <c r="G34" s="85">
        <v>0.65</v>
      </c>
      <c r="H34" s="85">
        <v>0.65</v>
      </c>
      <c r="I34" s="85">
        <v>0.65</v>
      </c>
      <c r="J34" s="85">
        <v>0.65</v>
      </c>
    </row>
    <row r="35" spans="3:10">
      <c r="D35" t="s">
        <v>94</v>
      </c>
      <c r="F35" s="85">
        <v>0.8</v>
      </c>
      <c r="G35" s="85">
        <v>0.4</v>
      </c>
      <c r="H35" s="85">
        <v>0.6</v>
      </c>
      <c r="I35" s="85">
        <v>0.59336</v>
      </c>
      <c r="J35" s="85">
        <v>0.6</v>
      </c>
    </row>
    <row r="36" spans="3:10">
      <c r="D36" t="s">
        <v>95</v>
      </c>
      <c r="F36" s="85">
        <v>0.7</v>
      </c>
      <c r="G36" s="85">
        <v>0.75</v>
      </c>
      <c r="H36" s="85">
        <v>0.59336</v>
      </c>
      <c r="I36" s="85">
        <v>0.59336</v>
      </c>
      <c r="J36" s="85">
        <v>0.59336</v>
      </c>
    </row>
    <row r="39" spans="3:10">
      <c r="C39" t="s">
        <v>230</v>
      </c>
    </row>
    <row r="41" spans="3:10">
      <c r="F41" s="51" t="s">
        <v>96</v>
      </c>
      <c r="G41" s="51" t="s">
        <v>97</v>
      </c>
      <c r="H41" s="51" t="s">
        <v>98</v>
      </c>
      <c r="I41" s="51" t="s">
        <v>99</v>
      </c>
      <c r="J41" s="51" t="s">
        <v>100</v>
      </c>
    </row>
    <row r="42" spans="3:10">
      <c r="D42" t="s">
        <v>231</v>
      </c>
      <c r="F42" s="73">
        <v>0.25</v>
      </c>
      <c r="G42" s="73">
        <v>0.25</v>
      </c>
      <c r="H42" s="73">
        <v>0.25</v>
      </c>
      <c r="I42" s="73">
        <v>0.25</v>
      </c>
      <c r="J42" s="73">
        <v>0.25</v>
      </c>
    </row>
    <row r="43" spans="3:10">
      <c r="D43" t="s">
        <v>232</v>
      </c>
      <c r="F43" s="73" t="s">
        <v>237</v>
      </c>
      <c r="G43" s="73">
        <v>0.7</v>
      </c>
      <c r="H43" s="73">
        <v>0.4</v>
      </c>
      <c r="I43" s="73" t="s">
        <v>237</v>
      </c>
      <c r="J43" s="73">
        <v>0.65</v>
      </c>
    </row>
    <row r="44" spans="3:10">
      <c r="D44" t="s">
        <v>233</v>
      </c>
      <c r="F44" s="73">
        <v>0.4</v>
      </c>
      <c r="G44" s="73">
        <v>0.8</v>
      </c>
      <c r="H44" s="73" t="s">
        <v>237</v>
      </c>
      <c r="I44" s="73">
        <v>0.65</v>
      </c>
      <c r="J44" s="73" t="s">
        <v>237</v>
      </c>
    </row>
    <row r="45" spans="3:10">
      <c r="D45" t="s">
        <v>234</v>
      </c>
      <c r="F45" s="73">
        <v>0.95</v>
      </c>
      <c r="G45" s="73">
        <v>0.85</v>
      </c>
      <c r="H45" s="73" t="s">
        <v>237</v>
      </c>
      <c r="I45" s="73" t="s">
        <v>237</v>
      </c>
      <c r="J45" s="73" t="s">
        <v>237</v>
      </c>
    </row>
    <row r="46" spans="3:10">
      <c r="D46" t="s">
        <v>235</v>
      </c>
      <c r="F46" s="73">
        <v>0.4</v>
      </c>
      <c r="G46" s="73" t="s">
        <v>237</v>
      </c>
      <c r="H46" s="73">
        <v>0.4</v>
      </c>
      <c r="I46" s="73" t="s">
        <v>237</v>
      </c>
      <c r="J46" s="73" t="s">
        <v>237</v>
      </c>
    </row>
    <row r="47" spans="3:10">
      <c r="D47" t="s">
        <v>238</v>
      </c>
      <c r="F47" s="73">
        <v>0.8</v>
      </c>
      <c r="G47" s="73">
        <v>0.4</v>
      </c>
      <c r="H47" s="73">
        <v>0.6</v>
      </c>
      <c r="I47" s="73" t="s">
        <v>237</v>
      </c>
      <c r="J47" s="73">
        <v>0.6</v>
      </c>
    </row>
    <row r="48" spans="3:10">
      <c r="D48" t="s">
        <v>239</v>
      </c>
      <c r="F48" s="73">
        <v>0.7</v>
      </c>
      <c r="G48" s="73">
        <v>0.75</v>
      </c>
      <c r="H48" s="4" t="s">
        <v>237</v>
      </c>
      <c r="I48" s="73" t="s">
        <v>237</v>
      </c>
      <c r="J48" s="73" t="s">
        <v>237</v>
      </c>
    </row>
    <row r="49" spans="4:10">
      <c r="D49" t="s">
        <v>240</v>
      </c>
      <c r="F49" s="73">
        <v>0.95</v>
      </c>
      <c r="G49" s="73">
        <v>0.95</v>
      </c>
      <c r="H49">
        <v>0.95</v>
      </c>
      <c r="I49">
        <v>0.95</v>
      </c>
      <c r="J49">
        <v>0.95</v>
      </c>
    </row>
  </sheetData>
  <phoneticPr fontId="26" type="noConversion"/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U220"/>
  <sheetViews>
    <sheetView topLeftCell="A25" workbookViewId="0">
      <selection activeCell="Q26" sqref="Q26"/>
    </sheetView>
  </sheetViews>
  <sheetFormatPr defaultColWidth="8.36328125" defaultRowHeight="14.5"/>
  <cols>
    <col min="2" max="6" width="1.81640625" customWidth="1"/>
    <col min="7" max="7" width="74.6328125" bestFit="1" customWidth="1"/>
    <col min="8" max="8" width="3.1796875" style="36" customWidth="1"/>
    <col min="9" max="11" width="13" style="36" customWidth="1"/>
    <col min="12" max="12" width="14.81640625" style="36" customWidth="1"/>
    <col min="13" max="13" width="13" style="36" customWidth="1"/>
    <col min="14" max="14" width="13.81640625" style="36" bestFit="1" customWidth="1"/>
    <col min="15" max="15" width="8.36328125" style="36"/>
    <col min="16" max="16" width="13.81640625" style="36" bestFit="1" customWidth="1"/>
    <col min="17" max="17" width="8.36328125" style="36"/>
    <col min="18" max="18" width="13.6328125" style="36" bestFit="1" customWidth="1"/>
    <col min="19" max="19" width="8.36328125" style="36"/>
    <col min="20" max="20" width="13.6328125" style="36" bestFit="1" customWidth="1"/>
    <col min="21" max="254" width="8.36328125" style="36"/>
    <col min="255" max="255" width="26.36328125" style="36" customWidth="1"/>
    <col min="256" max="261" width="11" style="36" customWidth="1"/>
    <col min="262" max="510" width="8.36328125" style="36"/>
    <col min="511" max="511" width="26.36328125" style="36" customWidth="1"/>
    <col min="512" max="517" width="11" style="36" customWidth="1"/>
    <col min="518" max="766" width="8.36328125" style="36"/>
    <col min="767" max="767" width="26.36328125" style="36" customWidth="1"/>
    <col min="768" max="773" width="11" style="36" customWidth="1"/>
    <col min="774" max="1022" width="8.36328125" style="36"/>
    <col min="1023" max="1023" width="26.36328125" style="36" customWidth="1"/>
    <col min="1024" max="1029" width="11" style="36" customWidth="1"/>
    <col min="1030" max="1278" width="8.36328125" style="36"/>
    <col min="1279" max="1279" width="26.36328125" style="36" customWidth="1"/>
    <col min="1280" max="1285" width="11" style="36" customWidth="1"/>
    <col min="1286" max="1534" width="8.36328125" style="36"/>
    <col min="1535" max="1535" width="26.36328125" style="36" customWidth="1"/>
    <col min="1536" max="1541" width="11" style="36" customWidth="1"/>
    <col min="1542" max="1790" width="8.36328125" style="36"/>
    <col min="1791" max="1791" width="26.36328125" style="36" customWidth="1"/>
    <col min="1792" max="1797" width="11" style="36" customWidth="1"/>
    <col min="1798" max="2046" width="8.36328125" style="36"/>
    <col min="2047" max="2047" width="26.36328125" style="36" customWidth="1"/>
    <col min="2048" max="2053" width="11" style="36" customWidth="1"/>
    <col min="2054" max="2302" width="8.36328125" style="36"/>
    <col min="2303" max="2303" width="26.36328125" style="36" customWidth="1"/>
    <col min="2304" max="2309" width="11" style="36" customWidth="1"/>
    <col min="2310" max="2558" width="8.36328125" style="36"/>
    <col min="2559" max="2559" width="26.36328125" style="36" customWidth="1"/>
    <col min="2560" max="2565" width="11" style="36" customWidth="1"/>
    <col min="2566" max="2814" width="8.36328125" style="36"/>
    <col min="2815" max="2815" width="26.36328125" style="36" customWidth="1"/>
    <col min="2816" max="2821" width="11" style="36" customWidth="1"/>
    <col min="2822" max="3070" width="8.36328125" style="36"/>
    <col min="3071" max="3071" width="26.36328125" style="36" customWidth="1"/>
    <col min="3072" max="3077" width="11" style="36" customWidth="1"/>
    <col min="3078" max="3326" width="8.36328125" style="36"/>
    <col min="3327" max="3327" width="26.36328125" style="36" customWidth="1"/>
    <col min="3328" max="3333" width="11" style="36" customWidth="1"/>
    <col min="3334" max="3582" width="8.36328125" style="36"/>
    <col min="3583" max="3583" width="26.36328125" style="36" customWidth="1"/>
    <col min="3584" max="3589" width="11" style="36" customWidth="1"/>
    <col min="3590" max="3838" width="8.36328125" style="36"/>
    <col min="3839" max="3839" width="26.36328125" style="36" customWidth="1"/>
    <col min="3840" max="3845" width="11" style="36" customWidth="1"/>
    <col min="3846" max="4094" width="8.36328125" style="36"/>
    <col min="4095" max="4095" width="26.36328125" style="36" customWidth="1"/>
    <col min="4096" max="4101" width="11" style="36" customWidth="1"/>
    <col min="4102" max="4350" width="8.36328125" style="36"/>
    <col min="4351" max="4351" width="26.36328125" style="36" customWidth="1"/>
    <col min="4352" max="4357" width="11" style="36" customWidth="1"/>
    <col min="4358" max="4606" width="8.36328125" style="36"/>
    <col min="4607" max="4607" width="26.36328125" style="36" customWidth="1"/>
    <col min="4608" max="4613" width="11" style="36" customWidth="1"/>
    <col min="4614" max="4862" width="8.36328125" style="36"/>
    <col min="4863" max="4863" width="26.36328125" style="36" customWidth="1"/>
    <col min="4864" max="4869" width="11" style="36" customWidth="1"/>
    <col min="4870" max="5118" width="8.36328125" style="36"/>
    <col min="5119" max="5119" width="26.36328125" style="36" customWidth="1"/>
    <col min="5120" max="5125" width="11" style="36" customWidth="1"/>
    <col min="5126" max="5374" width="8.36328125" style="36"/>
    <col min="5375" max="5375" width="26.36328125" style="36" customWidth="1"/>
    <col min="5376" max="5381" width="11" style="36" customWidth="1"/>
    <col min="5382" max="5630" width="8.36328125" style="36"/>
    <col min="5631" max="5631" width="26.36328125" style="36" customWidth="1"/>
    <col min="5632" max="5637" width="11" style="36" customWidth="1"/>
    <col min="5638" max="5886" width="8.36328125" style="36"/>
    <col min="5887" max="5887" width="26.36328125" style="36" customWidth="1"/>
    <col min="5888" max="5893" width="11" style="36" customWidth="1"/>
    <col min="5894" max="6142" width="8.36328125" style="36"/>
    <col min="6143" max="6143" width="26.36328125" style="36" customWidth="1"/>
    <col min="6144" max="6149" width="11" style="36" customWidth="1"/>
    <col min="6150" max="6398" width="8.36328125" style="36"/>
    <col min="6399" max="6399" width="26.36328125" style="36" customWidth="1"/>
    <col min="6400" max="6405" width="11" style="36" customWidth="1"/>
    <col min="6406" max="6654" width="8.36328125" style="36"/>
    <col min="6655" max="6655" width="26.36328125" style="36" customWidth="1"/>
    <col min="6656" max="6661" width="11" style="36" customWidth="1"/>
    <col min="6662" max="6910" width="8.36328125" style="36"/>
    <col min="6911" max="6911" width="26.36328125" style="36" customWidth="1"/>
    <col min="6912" max="6917" width="11" style="36" customWidth="1"/>
    <col min="6918" max="7166" width="8.36328125" style="36"/>
    <col min="7167" max="7167" width="26.36328125" style="36" customWidth="1"/>
    <col min="7168" max="7173" width="11" style="36" customWidth="1"/>
    <col min="7174" max="7422" width="8.36328125" style="36"/>
    <col min="7423" max="7423" width="26.36328125" style="36" customWidth="1"/>
    <col min="7424" max="7429" width="11" style="36" customWidth="1"/>
    <col min="7430" max="7678" width="8.36328125" style="36"/>
    <col min="7679" max="7679" width="26.36328125" style="36" customWidth="1"/>
    <col min="7680" max="7685" width="11" style="36" customWidth="1"/>
    <col min="7686" max="7934" width="8.36328125" style="36"/>
    <col min="7935" max="7935" width="26.36328125" style="36" customWidth="1"/>
    <col min="7936" max="7941" width="11" style="36" customWidth="1"/>
    <col min="7942" max="8190" width="8.36328125" style="36"/>
    <col min="8191" max="8191" width="26.36328125" style="36" customWidth="1"/>
    <col min="8192" max="8197" width="11" style="36" customWidth="1"/>
    <col min="8198" max="8446" width="8.36328125" style="36"/>
    <col min="8447" max="8447" width="26.36328125" style="36" customWidth="1"/>
    <col min="8448" max="8453" width="11" style="36" customWidth="1"/>
    <col min="8454" max="8702" width="8.36328125" style="36"/>
    <col min="8703" max="8703" width="26.36328125" style="36" customWidth="1"/>
    <col min="8704" max="8709" width="11" style="36" customWidth="1"/>
    <col min="8710" max="8958" width="8.36328125" style="36"/>
    <col min="8959" max="8959" width="26.36328125" style="36" customWidth="1"/>
    <col min="8960" max="8965" width="11" style="36" customWidth="1"/>
    <col min="8966" max="9214" width="8.36328125" style="36"/>
    <col min="9215" max="9215" width="26.36328125" style="36" customWidth="1"/>
    <col min="9216" max="9221" width="11" style="36" customWidth="1"/>
    <col min="9222" max="9470" width="8.36328125" style="36"/>
    <col min="9471" max="9471" width="26.36328125" style="36" customWidth="1"/>
    <col min="9472" max="9477" width="11" style="36" customWidth="1"/>
    <col min="9478" max="9726" width="8.36328125" style="36"/>
    <col min="9727" max="9727" width="26.36328125" style="36" customWidth="1"/>
    <col min="9728" max="9733" width="11" style="36" customWidth="1"/>
    <col min="9734" max="9982" width="8.36328125" style="36"/>
    <col min="9983" max="9983" width="26.36328125" style="36" customWidth="1"/>
    <col min="9984" max="9989" width="11" style="36" customWidth="1"/>
    <col min="9990" max="10238" width="8.36328125" style="36"/>
    <col min="10239" max="10239" width="26.36328125" style="36" customWidth="1"/>
    <col min="10240" max="10245" width="11" style="36" customWidth="1"/>
    <col min="10246" max="10494" width="8.36328125" style="36"/>
    <col min="10495" max="10495" width="26.36328125" style="36" customWidth="1"/>
    <col min="10496" max="10501" width="11" style="36" customWidth="1"/>
    <col min="10502" max="10750" width="8.36328125" style="36"/>
    <col min="10751" max="10751" width="26.36328125" style="36" customWidth="1"/>
    <col min="10752" max="10757" width="11" style="36" customWidth="1"/>
    <col min="10758" max="11006" width="8.36328125" style="36"/>
    <col min="11007" max="11007" width="26.36328125" style="36" customWidth="1"/>
    <col min="11008" max="11013" width="11" style="36" customWidth="1"/>
    <col min="11014" max="11262" width="8.36328125" style="36"/>
    <col min="11263" max="11263" width="26.36328125" style="36" customWidth="1"/>
    <col min="11264" max="11269" width="11" style="36" customWidth="1"/>
    <col min="11270" max="11518" width="8.36328125" style="36"/>
    <col min="11519" max="11519" width="26.36328125" style="36" customWidth="1"/>
    <col min="11520" max="11525" width="11" style="36" customWidth="1"/>
    <col min="11526" max="11774" width="8.36328125" style="36"/>
    <col min="11775" max="11775" width="26.36328125" style="36" customWidth="1"/>
    <col min="11776" max="11781" width="11" style="36" customWidth="1"/>
    <col min="11782" max="12030" width="8.36328125" style="36"/>
    <col min="12031" max="12031" width="26.36328125" style="36" customWidth="1"/>
    <col min="12032" max="12037" width="11" style="36" customWidth="1"/>
    <col min="12038" max="12286" width="8.36328125" style="36"/>
    <col min="12287" max="12287" width="26.36328125" style="36" customWidth="1"/>
    <col min="12288" max="12293" width="11" style="36" customWidth="1"/>
    <col min="12294" max="12542" width="8.36328125" style="36"/>
    <col min="12543" max="12543" width="26.36328125" style="36" customWidth="1"/>
    <col min="12544" max="12549" width="11" style="36" customWidth="1"/>
    <col min="12550" max="12798" width="8.36328125" style="36"/>
    <col min="12799" max="12799" width="26.36328125" style="36" customWidth="1"/>
    <col min="12800" max="12805" width="11" style="36" customWidth="1"/>
    <col min="12806" max="13054" width="8.36328125" style="36"/>
    <col min="13055" max="13055" width="26.36328125" style="36" customWidth="1"/>
    <col min="13056" max="13061" width="11" style="36" customWidth="1"/>
    <col min="13062" max="13310" width="8.36328125" style="36"/>
    <col min="13311" max="13311" width="26.36328125" style="36" customWidth="1"/>
    <col min="13312" max="13317" width="11" style="36" customWidth="1"/>
    <col min="13318" max="13566" width="8.36328125" style="36"/>
    <col min="13567" max="13567" width="26.36328125" style="36" customWidth="1"/>
    <col min="13568" max="13573" width="11" style="36" customWidth="1"/>
    <col min="13574" max="13822" width="8.36328125" style="36"/>
    <col min="13823" max="13823" width="26.36328125" style="36" customWidth="1"/>
    <col min="13824" max="13829" width="11" style="36" customWidth="1"/>
    <col min="13830" max="14078" width="8.36328125" style="36"/>
    <col min="14079" max="14079" width="26.36328125" style="36" customWidth="1"/>
    <col min="14080" max="14085" width="11" style="36" customWidth="1"/>
    <col min="14086" max="14334" width="8.36328125" style="36"/>
    <col min="14335" max="14335" width="26.36328125" style="36" customWidth="1"/>
    <col min="14336" max="14341" width="11" style="36" customWidth="1"/>
    <col min="14342" max="14590" width="8.36328125" style="36"/>
    <col min="14591" max="14591" width="26.36328125" style="36" customWidth="1"/>
    <col min="14592" max="14597" width="11" style="36" customWidth="1"/>
    <col min="14598" max="14846" width="8.36328125" style="36"/>
    <col min="14847" max="14847" width="26.36328125" style="36" customWidth="1"/>
    <col min="14848" max="14853" width="11" style="36" customWidth="1"/>
    <col min="14854" max="15102" width="8.36328125" style="36"/>
    <col min="15103" max="15103" width="26.36328125" style="36" customWidth="1"/>
    <col min="15104" max="15109" width="11" style="36" customWidth="1"/>
    <col min="15110" max="15358" width="8.36328125" style="36"/>
    <col min="15359" max="15359" width="26.36328125" style="36" customWidth="1"/>
    <col min="15360" max="15365" width="11" style="36" customWidth="1"/>
    <col min="15366" max="15614" width="8.36328125" style="36"/>
    <col min="15615" max="15615" width="26.36328125" style="36" customWidth="1"/>
    <col min="15616" max="15621" width="11" style="36" customWidth="1"/>
    <col min="15622" max="15870" width="8.36328125" style="36"/>
    <col min="15871" max="15871" width="26.36328125" style="36" customWidth="1"/>
    <col min="15872" max="15877" width="11" style="36" customWidth="1"/>
    <col min="15878" max="16126" width="8.36328125" style="36"/>
    <col min="16127" max="16127" width="26.36328125" style="36" customWidth="1"/>
    <col min="16128" max="16133" width="11" style="36" customWidth="1"/>
    <col min="16134" max="16384" width="8.36328125" style="36"/>
  </cols>
  <sheetData>
    <row r="1" spans="1:16" customFormat="1">
      <c r="G1" s="48"/>
      <c r="H1" s="7"/>
      <c r="J1" s="7"/>
    </row>
    <row r="2" spans="1:16" customFormat="1" ht="26">
      <c r="B2" s="23" t="str">
        <f>'1-Start'!C7</f>
        <v>American Captive Company</v>
      </c>
      <c r="H2" s="7"/>
    </row>
    <row r="3" spans="1:16" customFormat="1">
      <c r="H3" s="7"/>
    </row>
    <row r="4" spans="1:16" customFormat="1" ht="26">
      <c r="B4" s="23" t="s">
        <v>60</v>
      </c>
      <c r="H4" s="7"/>
      <c r="I4" s="62" t="s">
        <v>210</v>
      </c>
      <c r="J4" s="62"/>
      <c r="K4" s="62"/>
      <c r="L4" s="62"/>
      <c r="M4" s="62"/>
      <c r="N4" s="62"/>
      <c r="O4" s="62"/>
      <c r="P4" s="62"/>
    </row>
    <row r="5" spans="1:16" ht="26">
      <c r="B5" s="23"/>
    </row>
    <row r="7" spans="1:16">
      <c r="B7" s="22" t="s">
        <v>68</v>
      </c>
    </row>
    <row r="9" spans="1:16">
      <c r="B9" s="22" t="s">
        <v>67</v>
      </c>
      <c r="K9" s="42" t="s">
        <v>215</v>
      </c>
    </row>
    <row r="10" spans="1:16">
      <c r="B10" s="22"/>
      <c r="K10" s="42" t="s">
        <v>15</v>
      </c>
    </row>
    <row r="11" spans="1:16" ht="26" customHeight="1" thickBot="1">
      <c r="C11" s="45" t="s">
        <v>78</v>
      </c>
      <c r="H11" s="37"/>
      <c r="I11" s="41">
        <f>'1-Start'!C13</f>
        <v>2019</v>
      </c>
      <c r="J11" s="41">
        <f>I11+1</f>
        <v>2020</v>
      </c>
      <c r="K11" s="41">
        <f>J11+1</f>
        <v>2021</v>
      </c>
      <c r="L11" s="41">
        <f>K11+1</f>
        <v>2022</v>
      </c>
      <c r="M11" s="41">
        <f>L11+1</f>
        <v>2023</v>
      </c>
    </row>
    <row r="12" spans="1:16" ht="15" thickBot="1">
      <c r="A12" s="90" t="s">
        <v>257</v>
      </c>
      <c r="C12" s="135" t="s">
        <v>82</v>
      </c>
      <c r="D12" s="62"/>
      <c r="E12" s="62"/>
      <c r="F12" s="62"/>
      <c r="G12" s="62"/>
      <c r="H12" s="39"/>
      <c r="I12" s="59">
        <f>I26/xModel!I10</f>
        <v>3.2622613915399474E-3</v>
      </c>
      <c r="J12" s="59">
        <f>J26/xModel!K10</f>
        <v>3.8578548779123322E-3</v>
      </c>
      <c r="K12" s="59">
        <f>K26/xModel!M10</f>
        <v>2.7839690860841349E-3</v>
      </c>
      <c r="L12" s="59">
        <f>L26/xModel!O10</f>
        <v>5.3357381370709262E-3</v>
      </c>
      <c r="M12" s="59">
        <f>M26/xModel!Q10</f>
        <v>6.2407704470952364E-3</v>
      </c>
    </row>
    <row r="13" spans="1:16" ht="15" hidden="1" thickBot="1">
      <c r="A13" s="90" t="s">
        <v>258</v>
      </c>
      <c r="C13" s="46" t="s">
        <v>79</v>
      </c>
      <c r="H13" s="39"/>
      <c r="I13" s="59">
        <v>0</v>
      </c>
      <c r="J13" s="59">
        <v>0</v>
      </c>
      <c r="K13" s="59">
        <v>0</v>
      </c>
      <c r="L13" s="59">
        <v>0</v>
      </c>
      <c r="M13" s="59">
        <v>0</v>
      </c>
    </row>
    <row r="14" spans="1:16" ht="15" hidden="1" thickBot="1">
      <c r="A14" s="90" t="s">
        <v>259</v>
      </c>
      <c r="C14" s="47" t="s">
        <v>80</v>
      </c>
      <c r="H14" s="39"/>
      <c r="I14" s="59">
        <v>0</v>
      </c>
      <c r="J14" s="59">
        <v>0</v>
      </c>
      <c r="K14" s="59">
        <v>0</v>
      </c>
      <c r="L14" s="59">
        <v>0</v>
      </c>
      <c r="M14" s="59">
        <v>0</v>
      </c>
    </row>
    <row r="15" spans="1:16" ht="15" hidden="1" thickBot="1">
      <c r="A15" s="90" t="s">
        <v>260</v>
      </c>
      <c r="C15" s="47" t="s">
        <v>81</v>
      </c>
      <c r="H15" s="39"/>
      <c r="I15" s="59">
        <v>0</v>
      </c>
      <c r="J15" s="59">
        <v>0</v>
      </c>
      <c r="K15" s="59">
        <v>0</v>
      </c>
      <c r="L15" s="59">
        <v>0</v>
      </c>
      <c r="M15" s="59">
        <v>0</v>
      </c>
    </row>
    <row r="16" spans="1:16">
      <c r="A16" s="90"/>
      <c r="C16" s="47"/>
      <c r="H16" s="39"/>
      <c r="I16" s="128"/>
      <c r="J16" s="128"/>
      <c r="K16" s="128"/>
      <c r="L16" s="128"/>
      <c r="M16" s="128"/>
    </row>
    <row r="17" spans="1:15">
      <c r="A17" s="90"/>
      <c r="C17" s="47" t="s">
        <v>341</v>
      </c>
      <c r="G17" s="36"/>
      <c r="H17" s="39"/>
      <c r="I17" s="123">
        <f>Historical!$AD$34</f>
        <v>140000</v>
      </c>
      <c r="J17" s="123">
        <f>$I$17</f>
        <v>140000</v>
      </c>
      <c r="K17" s="123">
        <f t="shared" ref="K17:M17" si="0">$I$17</f>
        <v>140000</v>
      </c>
      <c r="L17" s="123">
        <f t="shared" si="0"/>
        <v>140000</v>
      </c>
      <c r="M17" s="123">
        <f t="shared" si="0"/>
        <v>140000</v>
      </c>
    </row>
    <row r="18" spans="1:15">
      <c r="A18" s="90"/>
      <c r="C18" s="47" t="s">
        <v>342</v>
      </c>
      <c r="H18" s="39"/>
      <c r="I18" s="132">
        <f>Historical!$AD$35^2</f>
        <v>1764000000</v>
      </c>
      <c r="J18" s="132">
        <f>$I$18</f>
        <v>1764000000</v>
      </c>
      <c r="K18" s="132">
        <f t="shared" ref="K18:M18" si="1">$I$18</f>
        <v>1764000000</v>
      </c>
      <c r="L18" s="132">
        <f t="shared" si="1"/>
        <v>1764000000</v>
      </c>
      <c r="M18" s="132">
        <f t="shared" si="1"/>
        <v>1764000000</v>
      </c>
    </row>
    <row r="19" spans="1:15">
      <c r="A19" s="90"/>
      <c r="C19" s="47" t="s">
        <v>343</v>
      </c>
      <c r="H19" s="39"/>
      <c r="I19" s="130">
        <f>LN(I17)-1/2*LN(1+I18/I17^2)</f>
        <v>11.806308853470915</v>
      </c>
      <c r="J19" s="130">
        <f>$I$19+LN(xModel!K66/xModel!$I$66)</f>
        <v>11.826111480767095</v>
      </c>
      <c r="K19" s="130">
        <f>$I$19+LN(xModel!M66/xModel!$I$66)</f>
        <v>11.845914108063274</v>
      </c>
      <c r="L19" s="130">
        <f>$I$19+LN(xModel!O66/xModel!$I$66)</f>
        <v>11.865716735359454</v>
      </c>
      <c r="M19" s="130">
        <f>$I$19+LN(xModel!Q66/xModel!$I$66)</f>
        <v>11.885519362655634</v>
      </c>
    </row>
    <row r="20" spans="1:15">
      <c r="A20" s="90"/>
      <c r="C20" s="47" t="s">
        <v>344</v>
      </c>
      <c r="H20" s="39"/>
      <c r="I20" s="130">
        <f>LN(1+I18/(I17^2))</f>
        <v>8.6177696241052412E-2</v>
      </c>
      <c r="J20" s="130">
        <f>$I$20</f>
        <v>8.6177696241052412E-2</v>
      </c>
      <c r="K20" s="130">
        <f t="shared" ref="K20:M20" si="2">$I$20</f>
        <v>8.6177696241052412E-2</v>
      </c>
      <c r="L20" s="130">
        <f t="shared" si="2"/>
        <v>8.6177696241052412E-2</v>
      </c>
      <c r="M20" s="130">
        <f t="shared" si="2"/>
        <v>8.6177696241052412E-2</v>
      </c>
    </row>
    <row r="21" spans="1:15">
      <c r="A21" s="90"/>
      <c r="C21" s="47" t="s">
        <v>345</v>
      </c>
      <c r="H21" s="39"/>
      <c r="I21" s="131">
        <f>I20^0.5</f>
        <v>0.29356037920852401</v>
      </c>
      <c r="J21" s="133">
        <f>J20^0.5</f>
        <v>0.29356037920852401</v>
      </c>
      <c r="K21" s="133">
        <f t="shared" ref="K21:M21" si="3">K20^0.5</f>
        <v>0.29356037920852401</v>
      </c>
      <c r="L21" s="133">
        <f t="shared" si="3"/>
        <v>0.29356037920852401</v>
      </c>
      <c r="M21" s="133">
        <f t="shared" si="3"/>
        <v>0.29356037920852401</v>
      </c>
    </row>
    <row r="22" spans="1:15" ht="40.25" customHeight="1">
      <c r="A22" s="90"/>
      <c r="C22" s="134"/>
      <c r="H22" s="39"/>
      <c r="I22" s="130">
        <f>IF($O$25=1,EXP(I19+1/2*I20),0)</f>
        <v>139999.99999999991</v>
      </c>
      <c r="J22" s="130">
        <f t="shared" ref="J22:M22" si="4">IF($O$25=1,EXP(J19+1/2*J20),0)</f>
        <v>142799.99999999991</v>
      </c>
      <c r="K22" s="130">
        <f>IF($O$25=1,EXP(K19+M222/2*K20),0)</f>
        <v>139513.14540017198</v>
      </c>
      <c r="L22" s="130">
        <f t="shared" si="4"/>
        <v>148569.11999999994</v>
      </c>
      <c r="M22" s="130">
        <f t="shared" si="4"/>
        <v>151540.50239999994</v>
      </c>
    </row>
    <row r="23" spans="1:15" ht="40.25" customHeight="1">
      <c r="A23" s="90"/>
      <c r="H23" s="39"/>
      <c r="I23" s="130">
        <f>IF($O$25=1,(LN(Historical!$AD$33)-I19)/I21,0)</f>
        <v>2.1219053642487626</v>
      </c>
      <c r="J23" s="130">
        <f>IF($O$25=1,(LN(Historical!$AD$33)-J19)/J21,0)</f>
        <v>2.0544486204280528</v>
      </c>
      <c r="K23" s="130">
        <f>IF($O$25=1,(LN(Historical!$AD$33)-K19)/K21,0)</f>
        <v>1.9869918766073433</v>
      </c>
      <c r="L23" s="130">
        <f>IF($O$25=1,(LN(Historical!$AD$33)-L19)/L21,0)</f>
        <v>1.9195351327866337</v>
      </c>
      <c r="M23" s="130">
        <f>IF($O$25=1,(LN(Historical!$AD$33)-M19)/M21,0)</f>
        <v>1.852078388965924</v>
      </c>
    </row>
    <row r="24" spans="1:15" ht="40.25" customHeight="1">
      <c r="A24" s="90"/>
      <c r="C24" s="134"/>
      <c r="H24" s="39"/>
      <c r="I24" s="130">
        <f>IF($O$25=1,_xlfn.NORM.DIST(I23,0,1,TRUE),0)</f>
        <v>0.9830771570496768</v>
      </c>
      <c r="J24" s="130">
        <f t="shared" ref="J24:M24" si="5">IF($O$25=1,_xlfn.NORM.DIST(J23,0,1,TRUE),0)</f>
        <v>0.98003385431060153</v>
      </c>
      <c r="K24" s="130">
        <f t="shared" si="5"/>
        <v>0.97653835146878076</v>
      </c>
      <c r="L24" s="130">
        <f t="shared" si="5"/>
        <v>0.97254167777630207</v>
      </c>
      <c r="M24" s="130">
        <f t="shared" si="5"/>
        <v>0.96799271635393358</v>
      </c>
    </row>
    <row r="25" spans="1:15" ht="40.25" customHeight="1">
      <c r="A25" s="90"/>
      <c r="C25" s="134"/>
      <c r="H25" s="39"/>
      <c r="I25" s="130">
        <f>IF($O$25=1,I22*_xlfn.NORM.DIST( (LN(Historical!$AD$33)-'Setup 2'!I19-'Setup 2'!I21^2)/'Setup 2'!I21,0,1,TRUE)+Historical!$AD$33*(1-I24),0)</f>
        <v>139505.86526702336</v>
      </c>
      <c r="J25" s="130">
        <f>IF($O$25=1,J22*_xlfn.NORM.DIST( (LN(Historical!$AD$33)-'Setup 2'!J19-'Setup 2'!J21^2)/'Setup 2'!J21,0,1,TRUE)+Historical!$AD$33*(1-J24),0)</f>
        <v>142203.96373607538</v>
      </c>
      <c r="K25" s="130">
        <f>IF($O$25=1,K22*_xlfn.NORM.DIST( (LN(Historical!$AD$33)-'Setup 2'!K19-'Setup 2'!K21^2)/'Setup 2'!K21,0,1,TRUE)+Historical!$AD$33*(1-K24),0)</f>
        <v>139074.42141568506</v>
      </c>
      <c r="L25" s="130">
        <f>IF($O$25=1,L22*_xlfn.NORM.DIST( (LN(Historical!$AD$33)-'Setup 2'!L19-'Setup 2'!L21^2)/'Setup 2'!L21,0,1,TRUE)+Historical!$AD$33*(1-L24),0)</f>
        <v>147711.44717829968</v>
      </c>
      <c r="M25" s="130">
        <f>IF($O$25=1,M22*_xlfn.NORM.DIST( (LN(Historical!$AD$33)-'Setup 2'!M19-'Setup 2'!M21^2)/'Setup 2'!M21,0,1,TRUE)+Historical!$AD$33*(1-M24),0)</f>
        <v>150517.2906450993</v>
      </c>
      <c r="O25" s="36">
        <v>1</v>
      </c>
    </row>
    <row r="26" spans="1:15" ht="40.25" customHeight="1">
      <c r="A26" s="90"/>
      <c r="H26" s="39"/>
      <c r="I26" s="130">
        <f>IF($O$25=1,(I22-I25)/$O$26,0)</f>
        <v>1098.0771843923462</v>
      </c>
      <c r="J26" s="130">
        <f t="shared" ref="J26:M26" si="6">IF($O$25=1,(J22-J25)/$O$26,0)</f>
        <v>1324.5250309433968</v>
      </c>
      <c r="K26" s="130">
        <f t="shared" si="6"/>
        <v>974.94218774870706</v>
      </c>
      <c r="L26" s="130">
        <f t="shared" si="6"/>
        <v>1905.9396037783395</v>
      </c>
      <c r="M26" s="130">
        <f t="shared" si="6"/>
        <v>2273.8038997791914</v>
      </c>
      <c r="N26" s="36" t="s">
        <v>378</v>
      </c>
      <c r="O26" s="304">
        <v>0.45</v>
      </c>
    </row>
    <row r="27" spans="1:15" ht="40.25" customHeight="1">
      <c r="A27" s="90"/>
      <c r="C27" s="134"/>
      <c r="H27" s="39"/>
      <c r="I27" s="130"/>
      <c r="J27" s="130"/>
      <c r="K27" s="130"/>
      <c r="L27" s="130"/>
      <c r="M27" s="130"/>
    </row>
    <row r="28" spans="1:15">
      <c r="A28" s="90"/>
      <c r="C28" s="47"/>
      <c r="H28" s="39"/>
      <c r="I28" s="129"/>
      <c r="J28" s="129"/>
      <c r="K28" s="129"/>
      <c r="L28" s="129"/>
      <c r="M28" s="129"/>
    </row>
    <row r="29" spans="1:15">
      <c r="A29" s="90" t="s">
        <v>278</v>
      </c>
      <c r="C29" s="47" t="s">
        <v>79</v>
      </c>
      <c r="H29" s="39"/>
      <c r="I29" s="129"/>
      <c r="J29" s="129"/>
      <c r="K29" s="129"/>
      <c r="L29" s="129"/>
      <c r="M29" s="129"/>
    </row>
    <row r="31" spans="1:15">
      <c r="B31" s="22" t="s">
        <v>61</v>
      </c>
    </row>
    <row r="33" spans="2:14">
      <c r="B33" s="22" t="s">
        <v>180</v>
      </c>
    </row>
    <row r="34" spans="2:14">
      <c r="B34" s="22"/>
      <c r="K34" s="42" t="s">
        <v>15</v>
      </c>
    </row>
    <row r="35" spans="2:14" ht="15" thickBot="1">
      <c r="B35" s="22"/>
      <c r="H35" s="37"/>
      <c r="I35" s="41">
        <f>'1-Start'!C13</f>
        <v>2019</v>
      </c>
      <c r="J35" s="41">
        <f>I35+1</f>
        <v>2020</v>
      </c>
      <c r="K35" s="41">
        <f>J35+1</f>
        <v>2021</v>
      </c>
      <c r="L35" s="41">
        <f>K35+1</f>
        <v>2022</v>
      </c>
      <c r="M35" s="41">
        <f>L35+1</f>
        <v>2023</v>
      </c>
    </row>
    <row r="36" spans="2:14" ht="15" thickBot="1">
      <c r="C36" t="s">
        <v>219</v>
      </c>
      <c r="H36" s="40"/>
      <c r="I36" s="60">
        <f>'7 - Enter Additional Data'!I9</f>
        <v>3.3000000000000002E-2</v>
      </c>
      <c r="J36" s="60">
        <f>'7 - Enter Additional Data'!J9</f>
        <v>3.3000000000000002E-2</v>
      </c>
      <c r="K36" s="60">
        <f>'7 - Enter Additional Data'!K9</f>
        <v>3.3000000000000002E-2</v>
      </c>
      <c r="L36" s="60">
        <f>'7 - Enter Additional Data'!L9</f>
        <v>3.3000000000000002E-2</v>
      </c>
      <c r="M36" s="60">
        <f>'7 - Enter Additional Data'!M9</f>
        <v>3.3000000000000002E-2</v>
      </c>
      <c r="N36" s="36" t="s">
        <v>305</v>
      </c>
    </row>
    <row r="37" spans="2:14" ht="15" thickBot="1">
      <c r="C37" s="62" t="s">
        <v>69</v>
      </c>
      <c r="D37" s="62"/>
      <c r="E37" s="62"/>
      <c r="F37" s="62"/>
      <c r="G37" s="62"/>
      <c r="H37" s="40"/>
      <c r="I37" s="60">
        <f>I26/xModel!I10</f>
        <v>3.2622613915399474E-3</v>
      </c>
      <c r="J37" s="60">
        <f>J26/xModel!K10</f>
        <v>3.8578548779123322E-3</v>
      </c>
      <c r="K37" s="60">
        <f>K26/xModel!M10</f>
        <v>2.7839690860841349E-3</v>
      </c>
      <c r="L37" s="60">
        <f>L26/xModel!O10</f>
        <v>5.3357381370709262E-3</v>
      </c>
      <c r="M37" s="60">
        <f>M26/xModel!M10</f>
        <v>6.4928975731578832E-3</v>
      </c>
      <c r="N37" s="36" t="s">
        <v>152</v>
      </c>
    </row>
    <row r="38" spans="2:14" ht="15" thickBot="1">
      <c r="C38" t="s">
        <v>328</v>
      </c>
      <c r="H38" s="40"/>
      <c r="I38" s="60">
        <f>'7 - Enter Additional Data'!I11</f>
        <v>0.05</v>
      </c>
      <c r="J38" s="60">
        <f>'7 - Enter Additional Data'!J11</f>
        <v>0.05</v>
      </c>
      <c r="K38" s="60">
        <f>'7 - Enter Additional Data'!K11</f>
        <v>0.05</v>
      </c>
      <c r="L38" s="60">
        <f>'7 - Enter Additional Data'!L11</f>
        <v>0.05</v>
      </c>
      <c r="M38" s="60">
        <f>'7 - Enter Additional Data'!M11</f>
        <v>0.05</v>
      </c>
    </row>
    <row r="39" spans="2:14" ht="15" thickBot="1">
      <c r="C39" t="s">
        <v>216</v>
      </c>
      <c r="H39" s="40"/>
      <c r="I39" s="60">
        <f>'7 - Enter Additional Data'!I12</f>
        <v>0.1</v>
      </c>
      <c r="J39" s="60">
        <f>'7 - Enter Additional Data'!J12</f>
        <v>0.1</v>
      </c>
      <c r="K39" s="60">
        <f>'7 - Enter Additional Data'!K12</f>
        <v>0.1</v>
      </c>
      <c r="L39" s="60">
        <f>'7 - Enter Additional Data'!L12</f>
        <v>0.1</v>
      </c>
      <c r="M39" s="60">
        <f>'7 - Enter Additional Data'!M12</f>
        <v>0.1</v>
      </c>
    </row>
    <row r="40" spans="2:14" ht="15" thickBot="1">
      <c r="C40" t="s">
        <v>62</v>
      </c>
      <c r="H40" s="40"/>
      <c r="I40" s="60">
        <f>'7 - Enter Additional Data'!I13</f>
        <v>3.5000000000000003E-2</v>
      </c>
      <c r="J40" s="60">
        <f>'7 - Enter Additional Data'!J13</f>
        <v>3.5000000000000003E-2</v>
      </c>
      <c r="K40" s="60">
        <f>'7 - Enter Additional Data'!K13</f>
        <v>3.5000000000000003E-2</v>
      </c>
      <c r="L40" s="60">
        <f>'7 - Enter Additional Data'!L13</f>
        <v>3.5000000000000003E-2</v>
      </c>
      <c r="M40" s="60">
        <f>'7 - Enter Additional Data'!M13</f>
        <v>3.5000000000000003E-2</v>
      </c>
    </row>
    <row r="41" spans="2:14" ht="15" thickBot="1">
      <c r="C41" s="113" t="s">
        <v>327</v>
      </c>
      <c r="D41" s="113"/>
      <c r="E41" s="113"/>
      <c r="F41" s="113"/>
      <c r="G41" s="113"/>
      <c r="H41" s="40"/>
      <c r="I41" s="60">
        <f>'7 - Enter Additional Data'!I14</f>
        <v>0.25</v>
      </c>
      <c r="J41" s="60">
        <f>'7 - Enter Additional Data'!J14</f>
        <v>0.25</v>
      </c>
      <c r="K41" s="60">
        <f>'7 - Enter Additional Data'!K14</f>
        <v>0.25</v>
      </c>
      <c r="L41" s="60">
        <f>'7 - Enter Additional Data'!L14</f>
        <v>0.25</v>
      </c>
      <c r="M41" s="60">
        <f>'7 - Enter Additional Data'!M14</f>
        <v>0.25</v>
      </c>
    </row>
    <row r="43" spans="2:14">
      <c r="B43" s="22" t="s">
        <v>183</v>
      </c>
    </row>
    <row r="44" spans="2:14">
      <c r="K44" s="42" t="s">
        <v>16</v>
      </c>
    </row>
    <row r="45" spans="2:14" ht="15" thickBot="1">
      <c r="H45" s="37"/>
      <c r="I45" s="41">
        <f>I35</f>
        <v>2019</v>
      </c>
      <c r="J45" s="41">
        <f>I45+1</f>
        <v>2020</v>
      </c>
      <c r="K45" s="41">
        <f>J45+1</f>
        <v>2021</v>
      </c>
      <c r="L45" s="41">
        <f>K45+1</f>
        <v>2022</v>
      </c>
      <c r="M45" s="41">
        <f>L45+1</f>
        <v>2023</v>
      </c>
    </row>
    <row r="46" spans="2:14" ht="15" thickBot="1">
      <c r="C46" t="s">
        <v>19</v>
      </c>
      <c r="H46" s="37"/>
      <c r="I46" s="61">
        <f>'7 - Enter Additional Data'!I19</f>
        <v>0.02</v>
      </c>
      <c r="J46" s="61">
        <f>'7 - Enter Additional Data'!J19</f>
        <v>0.02</v>
      </c>
      <c r="K46" s="61">
        <f>'7 - Enter Additional Data'!K19</f>
        <v>0.02</v>
      </c>
      <c r="L46" s="61">
        <f>'7 - Enter Additional Data'!L19</f>
        <v>0.02</v>
      </c>
      <c r="M46" s="61">
        <f>'7 - Enter Additional Data'!M19</f>
        <v>0.02</v>
      </c>
    </row>
    <row r="47" spans="2:14" ht="15" thickBot="1">
      <c r="H47" s="37"/>
      <c r="I47" s="50"/>
      <c r="J47" s="49"/>
      <c r="K47" s="49"/>
      <c r="L47" s="49"/>
      <c r="M47" s="49"/>
    </row>
    <row r="48" spans="2:14" ht="15" thickBot="1">
      <c r="C48" t="s">
        <v>187</v>
      </c>
      <c r="H48" s="40"/>
      <c r="I48" s="60">
        <f>'7 - Enter Additional Data'!I21</f>
        <v>0.03</v>
      </c>
      <c r="J48" s="60">
        <f>'7 - Enter Additional Data'!J21</f>
        <v>0.03</v>
      </c>
      <c r="K48" s="60">
        <f>'7 - Enter Additional Data'!K21</f>
        <v>0.03</v>
      </c>
      <c r="L48" s="60">
        <f>'7 - Enter Additional Data'!L21</f>
        <v>0.03</v>
      </c>
      <c r="M48" s="60">
        <f>'7 - Enter Additional Data'!M21</f>
        <v>0.03</v>
      </c>
    </row>
    <row r="49" spans="1:14" ht="15" thickBot="1">
      <c r="C49" t="s">
        <v>188</v>
      </c>
      <c r="H49" s="40"/>
      <c r="I49" s="60">
        <f>'7 - Enter Additional Data'!I22</f>
        <v>0</v>
      </c>
      <c r="J49" s="60">
        <f>'7 - Enter Additional Data'!J22</f>
        <v>0</v>
      </c>
      <c r="K49" s="60">
        <f>'7 - Enter Additional Data'!K22</f>
        <v>0</v>
      </c>
      <c r="L49" s="60">
        <f>'7 - Enter Additional Data'!L22</f>
        <v>0</v>
      </c>
      <c r="M49" s="60">
        <f>'7 - Enter Additional Data'!M22</f>
        <v>0</v>
      </c>
    </row>
    <row r="50" spans="1:14" ht="15" thickBot="1">
      <c r="C50" t="s">
        <v>189</v>
      </c>
      <c r="H50" s="40"/>
      <c r="I50" s="60">
        <f>'7 - Enter Additional Data'!I23</f>
        <v>0</v>
      </c>
      <c r="J50" s="60">
        <f>'7 - Enter Additional Data'!J23</f>
        <v>0</v>
      </c>
      <c r="K50" s="60">
        <f>'7 - Enter Additional Data'!K23</f>
        <v>0</v>
      </c>
      <c r="L50" s="60">
        <f>'7 - Enter Additional Data'!L23</f>
        <v>0</v>
      </c>
      <c r="M50" s="60">
        <f>'7 - Enter Additional Data'!M23</f>
        <v>0</v>
      </c>
    </row>
    <row r="51" spans="1:14" ht="15" thickBot="1">
      <c r="C51" t="s">
        <v>190</v>
      </c>
      <c r="H51" s="40"/>
      <c r="I51" s="60">
        <f>'7 - Enter Additional Data'!I24</f>
        <v>0</v>
      </c>
      <c r="J51" s="60">
        <f>'7 - Enter Additional Data'!J24</f>
        <v>0</v>
      </c>
      <c r="K51" s="60">
        <f>'7 - Enter Additional Data'!K24</f>
        <v>0</v>
      </c>
      <c r="L51" s="60">
        <f>'7 - Enter Additional Data'!L24</f>
        <v>0</v>
      </c>
      <c r="M51" s="60">
        <f>'7 - Enter Additional Data'!M24</f>
        <v>0</v>
      </c>
    </row>
    <row r="52" spans="1:14" ht="15" thickBot="1">
      <c r="C52" t="s">
        <v>111</v>
      </c>
      <c r="H52" s="40"/>
      <c r="I52" s="60">
        <f>'7 - Enter Additional Data'!I25</f>
        <v>0</v>
      </c>
      <c r="J52" s="60">
        <f>'7 - Enter Additional Data'!J25</f>
        <v>0</v>
      </c>
      <c r="K52" s="60">
        <f>'7 - Enter Additional Data'!K25</f>
        <v>0</v>
      </c>
      <c r="L52" s="60">
        <f>'7 - Enter Additional Data'!L25</f>
        <v>0</v>
      </c>
      <c r="M52" s="60">
        <f>'7 - Enter Additional Data'!M25</f>
        <v>0</v>
      </c>
    </row>
    <row r="53" spans="1:14" ht="15" thickBot="1">
      <c r="C53" t="s">
        <v>191</v>
      </c>
      <c r="H53" s="40"/>
      <c r="I53" s="60">
        <f>'7 - Enter Additional Data'!I26</f>
        <v>0</v>
      </c>
      <c r="J53" s="60">
        <f>'7 - Enter Additional Data'!J26</f>
        <v>0</v>
      </c>
      <c r="K53" s="60">
        <f>'7 - Enter Additional Data'!K26</f>
        <v>0</v>
      </c>
      <c r="L53" s="60">
        <f>'7 - Enter Additional Data'!L26</f>
        <v>0</v>
      </c>
      <c r="M53" s="60">
        <f>'7 - Enter Additional Data'!M26</f>
        <v>0</v>
      </c>
    </row>
    <row r="55" spans="1:14">
      <c r="B55" s="22" t="s">
        <v>168</v>
      </c>
    </row>
    <row r="56" spans="1:14">
      <c r="K56" s="42" t="s">
        <v>17</v>
      </c>
    </row>
    <row r="57" spans="1:14" ht="15" thickBot="1">
      <c r="H57" s="37"/>
      <c r="I57" s="41">
        <f>I45</f>
        <v>2019</v>
      </c>
      <c r="J57" s="41">
        <f>I57+1</f>
        <v>2020</v>
      </c>
      <c r="K57" s="41">
        <f>J57+1</f>
        <v>2021</v>
      </c>
      <c r="L57" s="41">
        <f>K57+1</f>
        <v>2022</v>
      </c>
      <c r="M57" s="41">
        <f>L57+1</f>
        <v>2023</v>
      </c>
    </row>
    <row r="58" spans="1:14" ht="15" thickBot="1">
      <c r="C58" t="s">
        <v>338</v>
      </c>
      <c r="H58" s="40"/>
      <c r="I58" s="60">
        <f>'7 - Enter Additional Data'!I31</f>
        <v>0.03</v>
      </c>
      <c r="J58" s="60">
        <f>'7 - Enter Additional Data'!J31</f>
        <v>0.03</v>
      </c>
      <c r="K58" s="60">
        <f>'7 - Enter Additional Data'!K31</f>
        <v>0.03</v>
      </c>
      <c r="L58" s="60">
        <f>'7 - Enter Additional Data'!L31</f>
        <v>0.03</v>
      </c>
      <c r="M58" s="60">
        <f>'7 - Enter Additional Data'!M31</f>
        <v>0.03</v>
      </c>
      <c r="N58" s="36" t="s">
        <v>70</v>
      </c>
    </row>
    <row r="59" spans="1:14" ht="15" thickBot="1">
      <c r="C59" t="s">
        <v>339</v>
      </c>
      <c r="H59" s="40"/>
      <c r="I59" s="60">
        <f>'7 - Enter Additional Data'!I32</f>
        <v>0.03</v>
      </c>
      <c r="J59" s="60">
        <f>'7 - Enter Additional Data'!J32</f>
        <v>0.03</v>
      </c>
      <c r="K59" s="60">
        <f>'7 - Enter Additional Data'!K32</f>
        <v>0.03</v>
      </c>
      <c r="L59" s="60">
        <f>'7 - Enter Additional Data'!L32</f>
        <v>0.03</v>
      </c>
      <c r="M59" s="60">
        <f>'7 - Enter Additional Data'!M32</f>
        <v>0.03</v>
      </c>
    </row>
    <row r="60" spans="1:14" ht="15" thickBot="1">
      <c r="C60" t="s">
        <v>63</v>
      </c>
      <c r="H60" s="40"/>
      <c r="I60" s="60">
        <f>'7 - Enter Additional Data'!I33</f>
        <v>0</v>
      </c>
      <c r="J60" s="60">
        <f>'7 - Enter Additional Data'!J33</f>
        <v>0</v>
      </c>
      <c r="K60" s="60">
        <f>'7 - Enter Additional Data'!K33</f>
        <v>0</v>
      </c>
      <c r="L60" s="60">
        <f>'7 - Enter Additional Data'!L33</f>
        <v>0</v>
      </c>
      <c r="M60" s="60">
        <f>'7 - Enter Additional Data'!M33</f>
        <v>0</v>
      </c>
    </row>
    <row r="61" spans="1:14" s="121" customFormat="1">
      <c r="A61" s="108"/>
      <c r="B61" s="108"/>
      <c r="C61" s="108"/>
      <c r="D61" s="108"/>
      <c r="E61" s="108"/>
      <c r="F61" s="108"/>
      <c r="G61" s="108"/>
      <c r="H61" s="119"/>
      <c r="I61" s="120"/>
      <c r="J61" s="120"/>
      <c r="K61" s="120"/>
      <c r="L61" s="120"/>
      <c r="M61" s="120"/>
    </row>
    <row r="62" spans="1:14" s="121" customFormat="1">
      <c r="A62" s="108"/>
      <c r="B62" s="108"/>
      <c r="C62" s="108" t="s">
        <v>340</v>
      </c>
      <c r="D62" s="108"/>
      <c r="E62" s="108"/>
      <c r="F62" s="108"/>
      <c r="G62" s="108"/>
      <c r="H62" s="119"/>
      <c r="I62" s="120">
        <v>5.9032801794156507E-2</v>
      </c>
      <c r="J62" s="120">
        <v>5.279998437684405E-2</v>
      </c>
      <c r="K62" s="120">
        <v>4.9098986781808761E-2</v>
      </c>
      <c r="L62" s="120">
        <v>7.1715071662353108E-4</v>
      </c>
      <c r="M62" s="120">
        <v>2.758046939316491E-2</v>
      </c>
    </row>
    <row r="63" spans="1:14" s="121" customFormat="1">
      <c r="A63" s="108"/>
      <c r="B63" s="108"/>
      <c r="C63" s="108"/>
      <c r="D63" s="108"/>
      <c r="E63" s="108"/>
      <c r="F63" s="108"/>
      <c r="G63" s="108"/>
      <c r="H63" s="119"/>
      <c r="I63" s="120"/>
      <c r="J63" s="120"/>
      <c r="K63" s="120"/>
      <c r="L63" s="120"/>
      <c r="M63" s="120"/>
    </row>
    <row r="64" spans="1:14" s="121" customFormat="1" ht="15" thickBot="1">
      <c r="A64" s="108"/>
      <c r="B64" s="6" t="s">
        <v>347</v>
      </c>
      <c r="C64" s="108"/>
      <c r="D64" s="108"/>
      <c r="E64" s="108"/>
      <c r="F64" s="108"/>
      <c r="G64" s="108"/>
      <c r="H64" s="119"/>
      <c r="I64" s="41">
        <f>I57</f>
        <v>2019</v>
      </c>
      <c r="J64" s="41">
        <f>I64+1</f>
        <v>2020</v>
      </c>
      <c r="K64" s="41">
        <f>J64+1</f>
        <v>2021</v>
      </c>
      <c r="L64" s="41">
        <f>K64+1</f>
        <v>2022</v>
      </c>
      <c r="M64" s="41">
        <f>L64+1</f>
        <v>2023</v>
      </c>
    </row>
    <row r="65" spans="1:14" s="121" customFormat="1" ht="15" thickBot="1">
      <c r="A65" s="108"/>
      <c r="B65" s="6"/>
      <c r="C65" s="108" t="s">
        <v>363</v>
      </c>
      <c r="D65" s="108"/>
      <c r="E65" s="108"/>
      <c r="F65" s="108"/>
      <c r="G65" s="108"/>
      <c r="H65" s="119"/>
      <c r="I65" s="59">
        <f>'7 - Enter Additional Data'!I38</f>
        <v>0</v>
      </c>
      <c r="J65" s="59">
        <f>'7 - Enter Additional Data'!J38</f>
        <v>0</v>
      </c>
      <c r="K65" s="59">
        <f>'7 - Enter Additional Data'!K38</f>
        <v>0</v>
      </c>
      <c r="L65" s="59">
        <f>'7 - Enter Additional Data'!L38</f>
        <v>0</v>
      </c>
      <c r="M65" s="59">
        <f>'7 - Enter Additional Data'!M38</f>
        <v>0</v>
      </c>
    </row>
    <row r="67" spans="1:14">
      <c r="B67" s="22" t="s">
        <v>196</v>
      </c>
    </row>
    <row r="68" spans="1:14">
      <c r="K68" s="42" t="s">
        <v>18</v>
      </c>
    </row>
    <row r="69" spans="1:14" ht="15" thickBot="1">
      <c r="H69" s="37"/>
      <c r="I69" s="41">
        <f>I57</f>
        <v>2019</v>
      </c>
      <c r="J69" s="41">
        <f>I69+1</f>
        <v>2020</v>
      </c>
      <c r="K69" s="41">
        <f>J69+1</f>
        <v>2021</v>
      </c>
      <c r="L69" s="41">
        <f>K69+1</f>
        <v>2022</v>
      </c>
      <c r="M69" s="41">
        <f>L69+1</f>
        <v>2023</v>
      </c>
    </row>
    <row r="70" spans="1:14" ht="15" thickBot="1">
      <c r="C70" t="s">
        <v>217</v>
      </c>
      <c r="H70" s="39"/>
      <c r="I70" s="59">
        <f>'7 - Enter Additional Data'!I43</f>
        <v>0</v>
      </c>
      <c r="J70" s="59">
        <f>'7 - Enter Additional Data'!J43</f>
        <v>0</v>
      </c>
      <c r="K70" s="59">
        <f>'7 - Enter Additional Data'!K43</f>
        <v>0</v>
      </c>
      <c r="L70" s="59">
        <f>'7 - Enter Additional Data'!L43</f>
        <v>0</v>
      </c>
      <c r="M70" s="59">
        <f>'7 - Enter Additional Data'!M43</f>
        <v>0</v>
      </c>
      <c r="N70" s="36" t="s">
        <v>71</v>
      </c>
    </row>
    <row r="71" spans="1:14">
      <c r="N71" s="36" t="s">
        <v>218</v>
      </c>
    </row>
    <row r="72" spans="1:14">
      <c r="B72" s="22" t="s">
        <v>113</v>
      </c>
    </row>
    <row r="73" spans="1:14">
      <c r="K73" s="42" t="s">
        <v>18</v>
      </c>
    </row>
    <row r="74" spans="1:14" ht="15" thickBot="1">
      <c r="H74" s="37"/>
      <c r="I74" s="41">
        <f>I69</f>
        <v>2019</v>
      </c>
      <c r="J74" s="41">
        <f>I74+1</f>
        <v>2020</v>
      </c>
      <c r="K74" s="41">
        <f>J74+1</f>
        <v>2021</v>
      </c>
      <c r="L74" s="41">
        <f>K74+1</f>
        <v>2022</v>
      </c>
      <c r="M74" s="41">
        <f>L74+1</f>
        <v>2023</v>
      </c>
    </row>
    <row r="75" spans="1:14" ht="15" thickBot="1">
      <c r="C75" t="s">
        <v>72</v>
      </c>
      <c r="H75" s="39"/>
      <c r="I75" s="59">
        <f>'7 - Enter Additional Data'!I48</f>
        <v>0</v>
      </c>
      <c r="J75" s="59">
        <f>'7 - Enter Additional Data'!J48</f>
        <v>0</v>
      </c>
      <c r="K75" s="59">
        <f>'7 - Enter Additional Data'!K48</f>
        <v>0</v>
      </c>
      <c r="L75" s="59">
        <f>'7 - Enter Additional Data'!L48</f>
        <v>0</v>
      </c>
      <c r="M75" s="59">
        <f>'7 - Enter Additional Data'!M48</f>
        <v>0</v>
      </c>
      <c r="N75" s="36" t="s">
        <v>71</v>
      </c>
    </row>
    <row r="76" spans="1:14">
      <c r="H76" s="39"/>
      <c r="I76" s="128"/>
      <c r="J76" s="128"/>
      <c r="K76" s="128"/>
      <c r="L76" s="128"/>
      <c r="M76" s="128"/>
    </row>
    <row r="77" spans="1:14">
      <c r="B77" s="6" t="s">
        <v>201</v>
      </c>
      <c r="H77" s="39"/>
      <c r="I77" s="128"/>
      <c r="J77" s="128"/>
      <c r="K77" s="128"/>
      <c r="L77" s="128"/>
      <c r="M77" s="128"/>
    </row>
    <row r="78" spans="1:14">
      <c r="B78" s="6"/>
      <c r="H78" s="39"/>
      <c r="I78" s="128"/>
      <c r="J78" s="128"/>
      <c r="K78" s="128"/>
      <c r="L78" s="128"/>
      <c r="M78" s="128"/>
    </row>
    <row r="79" spans="1:14" ht="15" thickBot="1">
      <c r="B79" s="6"/>
      <c r="H79" s="39"/>
      <c r="I79" s="41">
        <f>I74</f>
        <v>2019</v>
      </c>
      <c r="J79" s="41">
        <f>I79+1</f>
        <v>2020</v>
      </c>
      <c r="K79" s="41">
        <f>J79+1</f>
        <v>2021</v>
      </c>
      <c r="L79" s="41">
        <f>K79+1</f>
        <v>2022</v>
      </c>
      <c r="M79" s="41">
        <f>L79+1</f>
        <v>2023</v>
      </c>
    </row>
    <row r="80" spans="1:14" ht="15" thickBot="1">
      <c r="B80" s="6"/>
      <c r="D80" s="113" t="s">
        <v>325</v>
      </c>
      <c r="E80" s="113"/>
      <c r="F80" s="113"/>
      <c r="G80" s="113"/>
      <c r="H80" s="39"/>
      <c r="I80" s="59">
        <f>'7 - Enter Additional Data'!I53:M53</f>
        <v>0</v>
      </c>
      <c r="J80" s="59">
        <f>'7 - Enter Additional Data'!J53:N53</f>
        <v>0</v>
      </c>
      <c r="K80" s="59">
        <f>'7 - Enter Additional Data'!K53:O53</f>
        <v>0</v>
      </c>
      <c r="L80" s="59">
        <f>'7 - Enter Additional Data'!L53:P53</f>
        <v>0</v>
      </c>
      <c r="M80" s="59">
        <f>'7 - Enter Additional Data'!M53:Q53</f>
        <v>0</v>
      </c>
    </row>
    <row r="81" spans="1:21">
      <c r="B81" s="22"/>
    </row>
    <row r="82" spans="1:21">
      <c r="B82" s="22" t="s">
        <v>75</v>
      </c>
    </row>
    <row r="83" spans="1:21">
      <c r="B83" s="22"/>
    </row>
    <row r="84" spans="1:21">
      <c r="H84"/>
      <c r="I84"/>
      <c r="J84"/>
      <c r="K84"/>
      <c r="L84"/>
      <c r="M84"/>
      <c r="N84"/>
      <c r="P84"/>
    </row>
    <row r="85" spans="1:21">
      <c r="B85" s="22" t="s">
        <v>74</v>
      </c>
      <c r="H85"/>
      <c r="I85"/>
      <c r="J85"/>
      <c r="K85"/>
      <c r="L85" s="99">
        <v>41639</v>
      </c>
      <c r="N85" s="99">
        <v>42004</v>
      </c>
      <c r="P85" s="99">
        <v>42369</v>
      </c>
      <c r="R85" s="99">
        <v>42735</v>
      </c>
      <c r="T85" s="99">
        <v>43100</v>
      </c>
    </row>
    <row r="86" spans="1:21" ht="29.5" thickBot="1">
      <c r="H86"/>
      <c r="I86" s="44" t="s">
        <v>76</v>
      </c>
      <c r="J86"/>
      <c r="K86" s="44" t="s">
        <v>77</v>
      </c>
      <c r="L86" t="s">
        <v>346</v>
      </c>
      <c r="M86"/>
      <c r="N86"/>
      <c r="O86"/>
      <c r="P86"/>
    </row>
    <row r="87" spans="1:21" s="156" customFormat="1" ht="15" thickTop="1">
      <c r="A87" s="157">
        <v>1</v>
      </c>
      <c r="B87" s="157" t="s">
        <v>115</v>
      </c>
      <c r="C87" s="157"/>
      <c r="D87" s="157"/>
      <c r="E87" s="157"/>
      <c r="F87" s="157"/>
      <c r="G87" s="157"/>
      <c r="H87" s="157"/>
      <c r="I87" s="165"/>
      <c r="J87" s="166"/>
      <c r="K87" s="167">
        <v>9</v>
      </c>
      <c r="L87" s="159">
        <f>xModel!Y35</f>
        <v>0.27374378721646903</v>
      </c>
      <c r="M87" s="300">
        <f>IF(L87&lt;K87,0,1)</f>
        <v>0</v>
      </c>
      <c r="N87" s="159">
        <f>xModel!AA35</f>
        <v>0.26336771245617319</v>
      </c>
      <c r="O87" s="300">
        <f>IF(N87&lt;K87,0,1)</f>
        <v>0</v>
      </c>
      <c r="P87" s="159">
        <f>xModel!AC35</f>
        <v>0.24539144266484914</v>
      </c>
      <c r="Q87" s="306">
        <f>IF(P87&lt;K87,0,1)</f>
        <v>0</v>
      </c>
      <c r="R87" s="160">
        <f>xModel!AE35</f>
        <v>0.24913175513228941</v>
      </c>
      <c r="S87" s="306">
        <f>IF(R87&lt;K87,0,1)</f>
        <v>0</v>
      </c>
      <c r="T87" s="160">
        <f>xModel!AG35</f>
        <v>0.23704440145499375</v>
      </c>
      <c r="U87" s="306">
        <f>IF(T87&lt;K87,0,1)</f>
        <v>0</v>
      </c>
    </row>
    <row r="88" spans="1:21" s="156" customFormat="1">
      <c r="A88" s="157">
        <v>2</v>
      </c>
      <c r="B88" s="157" t="s">
        <v>116</v>
      </c>
      <c r="C88" s="157"/>
      <c r="D88" s="157"/>
      <c r="E88" s="157"/>
      <c r="F88" s="157"/>
      <c r="G88" s="157"/>
      <c r="H88" s="157"/>
      <c r="I88" s="165"/>
      <c r="J88" s="168"/>
      <c r="K88" s="169">
        <v>3</v>
      </c>
      <c r="L88" s="159">
        <f>xModel!Y36</f>
        <v>0.27776020349151503</v>
      </c>
      <c r="M88" s="300">
        <f t="shared" ref="M88:M113" si="7">IF(L88&lt;K88,0,1)</f>
        <v>0</v>
      </c>
      <c r="N88" s="159">
        <f>xModel!AA36</f>
        <v>0.26703581404699683</v>
      </c>
      <c r="O88" s="300">
        <f>IF(N88&lt;K88,0,1)</f>
        <v>0</v>
      </c>
      <c r="P88" s="159">
        <f>xModel!AC36</f>
        <v>0.24913857947685436</v>
      </c>
      <c r="Q88" s="306">
        <f t="shared" ref="Q88:Q113" si="8">IF(P88&lt;K88,0,1)</f>
        <v>0</v>
      </c>
      <c r="R88" s="160">
        <f>xModel!AE36</f>
        <v>0.25178099183065111</v>
      </c>
      <c r="S88" s="306">
        <f t="shared" ref="S88:S113" si="9">IF(R88&lt;K88,0,1)</f>
        <v>0</v>
      </c>
      <c r="T88" s="160">
        <f>xModel!AG36</f>
        <v>0.23956510270860268</v>
      </c>
      <c r="U88" s="306">
        <f t="shared" ref="U88:U113" si="10">IF(T88&lt;K88,0,1)</f>
        <v>0</v>
      </c>
    </row>
    <row r="89" spans="1:21">
      <c r="B89" t="s">
        <v>242</v>
      </c>
      <c r="H89"/>
      <c r="I89" s="170">
        <v>0</v>
      </c>
      <c r="J89" s="171"/>
      <c r="K89" s="172">
        <v>0.25</v>
      </c>
      <c r="L89" s="158">
        <f>xModel!Y37</f>
        <v>0.20331534998252304</v>
      </c>
      <c r="M89" s="300"/>
      <c r="N89" s="158">
        <f>xModel!AA37</f>
        <v>0.19177335090828496</v>
      </c>
      <c r="O89" s="300"/>
      <c r="P89" s="158">
        <f>xModel!AC37</f>
        <v>0.17518017964379382</v>
      </c>
      <c r="Q89" s="306"/>
      <c r="R89" s="155">
        <f>xModel!AE37</f>
        <v>0.17436305489160844</v>
      </c>
      <c r="S89" s="306"/>
      <c r="T89" s="155">
        <f>xModel!AG37</f>
        <v>0.16265031643596908</v>
      </c>
      <c r="U89" s="306"/>
    </row>
    <row r="90" spans="1:21">
      <c r="B90" t="s">
        <v>48</v>
      </c>
      <c r="H90"/>
      <c r="I90" s="170">
        <v>0</v>
      </c>
      <c r="J90" s="171"/>
      <c r="K90" s="172">
        <v>1.2</v>
      </c>
      <c r="L90" s="158">
        <f>xModel!Y38</f>
        <v>0.60697532102714757</v>
      </c>
      <c r="M90" s="300"/>
      <c r="N90" s="158">
        <f>xModel!AA38</f>
        <v>0.56661674098063242</v>
      </c>
      <c r="O90" s="300"/>
      <c r="P90" s="158">
        <f>xModel!AC38</f>
        <v>0.41411248134836709</v>
      </c>
      <c r="Q90" s="306"/>
      <c r="R90" s="155">
        <f>xModel!AE38</f>
        <v>0.41083530269208396</v>
      </c>
      <c r="S90" s="306"/>
      <c r="T90" s="155">
        <f>xModel!AG38</f>
        <v>0.34601185885457558</v>
      </c>
      <c r="U90" s="306"/>
    </row>
    <row r="91" spans="1:21" s="156" customFormat="1">
      <c r="A91" s="157">
        <v>3</v>
      </c>
      <c r="B91" s="157" t="s">
        <v>117</v>
      </c>
      <c r="C91" s="157"/>
      <c r="D91" s="157"/>
      <c r="E91" s="157"/>
      <c r="F91" s="157"/>
      <c r="G91" s="157"/>
      <c r="H91" s="157"/>
      <c r="I91" s="173">
        <v>-0.33</v>
      </c>
      <c r="J91" s="168"/>
      <c r="K91" s="169">
        <v>0.33</v>
      </c>
      <c r="L91" s="159">
        <f>xModel!Y39</f>
        <v>-0.85159228409821408</v>
      </c>
      <c r="M91" s="300">
        <f>IF(AND(L91&lt;K91,L91&gt;I91),0,1)</f>
        <v>1</v>
      </c>
      <c r="N91" s="159">
        <f>xModel!AA39</f>
        <v>1.925159897439151E-2</v>
      </c>
      <c r="O91" s="300">
        <f>IF(AND(N91&lt;K91,N91&gt;I91),0,1)</f>
        <v>0</v>
      </c>
      <c r="P91" s="159">
        <f>xModel!AC39</f>
        <v>2.1350396492466402E-2</v>
      </c>
      <c r="Q91" s="306">
        <f>IF(AND(P91&lt;K91,P91&gt;I91),0,1)</f>
        <v>0</v>
      </c>
      <c r="R91" s="160">
        <f>xModel!AE39</f>
        <v>1.5342240348841513E-2</v>
      </c>
      <c r="S91" s="306">
        <f>IF(AND(R91&lt;K91,R91&gt;I91),0,1)</f>
        <v>0</v>
      </c>
      <c r="T91" s="160">
        <f>xModel!AG39</f>
        <v>1.9999999999999928E-2</v>
      </c>
      <c r="U91" s="306">
        <f>IF(AND(T91&lt;K91,T91&gt;I91),0,1)</f>
        <v>0</v>
      </c>
    </row>
    <row r="92" spans="1:21" s="156" customFormat="1">
      <c r="A92" s="157">
        <v>7</v>
      </c>
      <c r="B92" s="157" t="s">
        <v>118</v>
      </c>
      <c r="C92" s="157"/>
      <c r="D92" s="157"/>
      <c r="E92" s="157"/>
      <c r="F92" s="157"/>
      <c r="G92" s="157"/>
      <c r="H92" s="157"/>
      <c r="I92" s="173">
        <v>-0.1</v>
      </c>
      <c r="J92" s="168"/>
      <c r="K92" s="169">
        <v>0.5</v>
      </c>
      <c r="L92" s="159">
        <f>xModel!Y40</f>
        <v>2.8324485907608051E-2</v>
      </c>
      <c r="M92" s="300">
        <f t="shared" ref="M92:M98" si="11">IF(AND(L92&lt;K92,L92&gt;I92),0,1)</f>
        <v>0</v>
      </c>
      <c r="N92" s="159">
        <f>xModel!AA40</f>
        <v>6.0185625477014233E-2</v>
      </c>
      <c r="O92" s="300">
        <f t="shared" ref="O92:O98" si="12">IF(AND(N92&lt;K92,N92&gt;I92),0,1)</f>
        <v>0</v>
      </c>
      <c r="P92" s="159">
        <f>xModel!AC40</f>
        <v>9.4720597377118826E-2</v>
      </c>
      <c r="Q92" s="306">
        <f t="shared" ref="Q92:Q98" si="13">IF(AND(P92&lt;K92,P92&gt;I92),0,1)</f>
        <v>0</v>
      </c>
      <c r="R92" s="160">
        <f>xModel!AE40</f>
        <v>4.6863411098948217E-3</v>
      </c>
      <c r="S92" s="306">
        <f t="shared" ref="S92:S98" si="14">IF(AND(R92&lt;K92,R92&gt;I92),0,1)</f>
        <v>0</v>
      </c>
      <c r="T92" s="160">
        <f>xModel!AG40</f>
        <v>7.2011777857501555E-2</v>
      </c>
      <c r="U92" s="306">
        <f t="shared" ref="U92:U98" si="15">IF(AND(T92&lt;K92,T92&gt;I92),0,1)</f>
        <v>0</v>
      </c>
    </row>
    <row r="93" spans="1:21" s="156" customFormat="1">
      <c r="A93" s="157">
        <v>8</v>
      </c>
      <c r="B93" s="157" t="s">
        <v>364</v>
      </c>
      <c r="C93" s="157"/>
      <c r="D93" s="157"/>
      <c r="E93" s="157"/>
      <c r="F93" s="157"/>
      <c r="G93" s="157"/>
      <c r="I93" s="173">
        <v>-0.1</v>
      </c>
      <c r="J93" s="168"/>
      <c r="K93" s="169">
        <v>0.25</v>
      </c>
      <c r="L93" s="159">
        <f>xModel!Y41</f>
        <v>2.8324485907608051E-2</v>
      </c>
      <c r="M93" s="300">
        <f t="shared" si="11"/>
        <v>0</v>
      </c>
      <c r="N93" s="159">
        <f>xModel!AA41</f>
        <v>6.0185625477014233E-2</v>
      </c>
      <c r="O93" s="300">
        <f t="shared" si="12"/>
        <v>0</v>
      </c>
      <c r="P93" s="159">
        <f>xModel!AC41</f>
        <v>9.4720597377118826E-2</v>
      </c>
      <c r="Q93" s="306">
        <f t="shared" si="13"/>
        <v>0</v>
      </c>
      <c r="R93" s="160">
        <f>xModel!AE41</f>
        <v>4.6863411098948217E-3</v>
      </c>
      <c r="S93" s="306">
        <f t="shared" si="14"/>
        <v>0</v>
      </c>
      <c r="T93" s="160">
        <f>xModel!AG41</f>
        <v>7.2011777857501555E-2</v>
      </c>
      <c r="U93" s="306">
        <f t="shared" si="15"/>
        <v>0</v>
      </c>
    </row>
    <row r="94" spans="1:21" s="156" customFormat="1">
      <c r="A94" s="157">
        <v>11</v>
      </c>
      <c r="B94" s="157" t="s">
        <v>119</v>
      </c>
      <c r="C94" s="157"/>
      <c r="D94" s="157"/>
      <c r="E94" s="157"/>
      <c r="F94" s="157"/>
      <c r="G94" s="157"/>
      <c r="H94" s="157"/>
      <c r="I94" s="173">
        <v>0</v>
      </c>
      <c r="J94" s="168"/>
      <c r="K94" s="169">
        <v>0.2</v>
      </c>
      <c r="L94" s="159">
        <f>xModel!Y42</f>
        <v>9.0040513693569149E-2</v>
      </c>
      <c r="M94" s="300">
        <f t="shared" si="11"/>
        <v>0</v>
      </c>
      <c r="N94" s="159">
        <f>xModel!AA42</f>
        <v>2.0406848967773991E-2</v>
      </c>
      <c r="O94" s="300">
        <f t="shared" si="12"/>
        <v>0</v>
      </c>
      <c r="P94" s="159">
        <f>xModel!AC42</f>
        <v>-8.8721524071487846E-3</v>
      </c>
      <c r="Q94" s="306">
        <f t="shared" si="13"/>
        <v>1</v>
      </c>
      <c r="R94" s="160">
        <f>xModel!AE42</f>
        <v>2.328000951283046E-3</v>
      </c>
      <c r="S94" s="306">
        <f t="shared" si="14"/>
        <v>0</v>
      </c>
      <c r="T94" s="160">
        <f>xModel!AG42</f>
        <v>-1.7110470188009513E-2</v>
      </c>
      <c r="U94" s="306">
        <f t="shared" si="15"/>
        <v>1</v>
      </c>
    </row>
    <row r="95" spans="1:21" s="156" customFormat="1">
      <c r="A95" s="157">
        <v>6</v>
      </c>
      <c r="B95" s="157" t="s">
        <v>280</v>
      </c>
      <c r="C95" s="157"/>
      <c r="D95" s="157"/>
      <c r="E95" s="157"/>
      <c r="F95" s="157"/>
      <c r="G95" s="157"/>
      <c r="H95" s="157"/>
      <c r="I95" s="173">
        <v>0.03</v>
      </c>
      <c r="J95" s="168"/>
      <c r="K95" s="169">
        <v>6.5000000000000002E-2</v>
      </c>
      <c r="L95" s="159">
        <f>xModel!Y43</f>
        <v>8.932856219003521E-2</v>
      </c>
      <c r="M95" s="300">
        <f t="shared" si="11"/>
        <v>1</v>
      </c>
      <c r="N95" s="159">
        <f>xModel!AA43</f>
        <v>8.1217405869480994E-2</v>
      </c>
      <c r="O95" s="300">
        <f t="shared" si="12"/>
        <v>1</v>
      </c>
      <c r="P95" s="159">
        <f>xModel!AC43</f>
        <v>7.2399178584110352E-2</v>
      </c>
      <c r="Q95" s="306">
        <f t="shared" si="13"/>
        <v>1</v>
      </c>
      <c r="R95" s="160">
        <f>xModel!AE43</f>
        <v>1.1085228397739756E-3</v>
      </c>
      <c r="S95" s="306">
        <f t="shared" si="14"/>
        <v>1</v>
      </c>
      <c r="T95" s="160">
        <f>xModel!AG43</f>
        <v>3.9947855563641291E-2</v>
      </c>
      <c r="U95" s="306">
        <f t="shared" si="15"/>
        <v>0</v>
      </c>
    </row>
    <row r="96" spans="1:21">
      <c r="B96" t="s">
        <v>124</v>
      </c>
      <c r="H96"/>
      <c r="I96" s="170">
        <v>-0.05</v>
      </c>
      <c r="J96" s="171"/>
      <c r="K96" s="172">
        <v>0.05</v>
      </c>
      <c r="L96" s="158">
        <f>xModel!Y44</f>
        <v>0</v>
      </c>
      <c r="M96" s="300"/>
      <c r="N96" s="158">
        <f>xModel!AA44</f>
        <v>0</v>
      </c>
      <c r="O96" s="300"/>
      <c r="P96" s="158">
        <f>xModel!AC44</f>
        <v>0</v>
      </c>
      <c r="Q96" s="306"/>
      <c r="R96" s="155">
        <f>xModel!AE44</f>
        <v>0</v>
      </c>
      <c r="S96" s="306"/>
      <c r="T96" s="155">
        <f>xModel!AG44</f>
        <v>0</v>
      </c>
      <c r="U96" s="306"/>
    </row>
    <row r="97" spans="1:21">
      <c r="B97" t="s">
        <v>127</v>
      </c>
      <c r="H97"/>
      <c r="I97" s="170">
        <v>0</v>
      </c>
      <c r="J97" s="171"/>
      <c r="K97" s="172">
        <v>0.1</v>
      </c>
      <c r="L97" s="158">
        <f>xModel!Y45</f>
        <v>9.0040513693569149E-2</v>
      </c>
      <c r="M97" s="300"/>
      <c r="N97" s="158">
        <f>xModel!AA45</f>
        <v>2.0406848967773991E-2</v>
      </c>
      <c r="O97" s="300"/>
      <c r="P97" s="158">
        <f>xModel!AC45</f>
        <v>-8.8721524071487846E-3</v>
      </c>
      <c r="Q97" s="306"/>
      <c r="R97" s="155">
        <f>xModel!AE45</f>
        <v>2.328000951283046E-3</v>
      </c>
      <c r="S97" s="306"/>
      <c r="T97" s="155">
        <f>xModel!AG45</f>
        <v>-1.7110470188009513E-2</v>
      </c>
      <c r="U97" s="306"/>
    </row>
    <row r="98" spans="1:21" s="156" customFormat="1" ht="14" customHeight="1">
      <c r="A98" s="157">
        <v>9</v>
      </c>
      <c r="B98" s="157" t="s">
        <v>128</v>
      </c>
      <c r="C98" s="157"/>
      <c r="D98" s="157"/>
      <c r="E98" s="157"/>
      <c r="F98" s="157"/>
      <c r="G98" s="157"/>
      <c r="H98" s="157"/>
      <c r="I98" s="173">
        <v>0</v>
      </c>
      <c r="J98" s="168"/>
      <c r="K98" s="169">
        <v>1</v>
      </c>
      <c r="L98" s="159">
        <f>xModel!Y46</f>
        <v>2.7926060058315367</v>
      </c>
      <c r="M98" s="300">
        <f t="shared" si="11"/>
        <v>1</v>
      </c>
      <c r="N98" s="159">
        <f>xModel!AA46</f>
        <v>2.1279784421423149</v>
      </c>
      <c r="O98" s="300">
        <f t="shared" si="12"/>
        <v>1</v>
      </c>
      <c r="P98" s="159">
        <f>xModel!AC46</f>
        <v>1.618919467604814</v>
      </c>
      <c r="Q98" s="306">
        <f t="shared" si="13"/>
        <v>1</v>
      </c>
      <c r="R98" s="160">
        <f>xModel!AE46</f>
        <v>1.5931812839451909</v>
      </c>
      <c r="S98" s="306">
        <f t="shared" si="14"/>
        <v>1</v>
      </c>
      <c r="T98" s="160">
        <f>xModel!AG46</f>
        <v>1.3343337574559744</v>
      </c>
      <c r="U98" s="306">
        <f t="shared" si="15"/>
        <v>1</v>
      </c>
    </row>
    <row r="99" spans="1:21">
      <c r="B99" t="s">
        <v>73</v>
      </c>
      <c r="H99"/>
      <c r="I99" s="170">
        <v>0</v>
      </c>
      <c r="J99" s="171"/>
      <c r="K99" s="172">
        <v>0.7</v>
      </c>
      <c r="L99" s="158">
        <f>xModel!Y47</f>
        <v>1.0261838100341627</v>
      </c>
      <c r="M99" s="300"/>
      <c r="N99" s="158">
        <f>xModel!AA47</f>
        <v>0.86046340716328096</v>
      </c>
      <c r="O99" s="300"/>
      <c r="P99" s="158">
        <f>xModel!AC47</f>
        <v>0.67352330451917186</v>
      </c>
      <c r="Q99" s="306"/>
      <c r="R99" s="155">
        <f>xModel!AE47</f>
        <v>0.72357154334568408</v>
      </c>
      <c r="S99" s="306"/>
      <c r="T99" s="155">
        <f>xModel!AG47</f>
        <v>0.59713528035234897</v>
      </c>
      <c r="U99" s="306"/>
    </row>
    <row r="100" spans="1:21">
      <c r="B100" t="s">
        <v>132</v>
      </c>
      <c r="H100"/>
      <c r="I100" s="170">
        <v>0</v>
      </c>
      <c r="J100" s="171"/>
      <c r="K100" s="172">
        <v>0.1</v>
      </c>
      <c r="L100" s="158">
        <f>xModel!Y48</f>
        <v>0.25186292711986191</v>
      </c>
      <c r="M100" s="300"/>
      <c r="N100" s="158">
        <f>xModel!AA48</f>
        <v>0.2539803018371955</v>
      </c>
      <c r="O100" s="300"/>
      <c r="P100" s="158">
        <f>xModel!AC48</f>
        <v>0.25560385040069816</v>
      </c>
      <c r="Q100" s="306"/>
      <c r="R100" s="155">
        <f>xModel!AE48</f>
        <v>0.25877442878444634</v>
      </c>
      <c r="S100" s="306"/>
      <c r="T100" s="155">
        <f>xModel!AG48</f>
        <v>0.26080222803328773</v>
      </c>
      <c r="U100" s="306"/>
    </row>
    <row r="101" spans="1:21">
      <c r="B101" t="s">
        <v>134</v>
      </c>
      <c r="H101"/>
      <c r="I101" s="170">
        <v>0</v>
      </c>
      <c r="J101" s="171"/>
      <c r="K101" s="172">
        <v>0.1</v>
      </c>
      <c r="L101" s="158">
        <f>xModel!Y49</f>
        <v>0</v>
      </c>
      <c r="M101" s="300"/>
      <c r="N101" s="158">
        <f>xModel!AA49</f>
        <v>0</v>
      </c>
      <c r="O101" s="300"/>
      <c r="P101" s="158">
        <f>xModel!AC49</f>
        <v>0</v>
      </c>
      <c r="Q101" s="306"/>
      <c r="R101" s="155">
        <f>xModel!AE49</f>
        <v>0</v>
      </c>
      <c r="S101" s="306"/>
      <c r="T101" s="155">
        <f>xModel!AG49</f>
        <v>0</v>
      </c>
      <c r="U101" s="306"/>
    </row>
    <row r="102" spans="1:21">
      <c r="B102" t="s">
        <v>135</v>
      </c>
      <c r="H102"/>
      <c r="I102" s="170">
        <v>0</v>
      </c>
      <c r="J102" s="171"/>
      <c r="K102" s="172">
        <v>1</v>
      </c>
      <c r="L102" s="158">
        <f>xModel!Y50</f>
        <v>1.5299096642738865</v>
      </c>
      <c r="M102" s="300"/>
      <c r="N102" s="158">
        <f>xModel!AA50</f>
        <v>1.368424010837672</v>
      </c>
      <c r="O102" s="300"/>
      <c r="P102" s="158">
        <f>xModel!AC50</f>
        <v>1.1847310053205682</v>
      </c>
      <c r="Q102" s="306"/>
      <c r="R102" s="155">
        <f>xModel!AE50</f>
        <v>1.2411204009145766</v>
      </c>
      <c r="S102" s="306"/>
      <c r="T102" s="155">
        <f>xModel!AG50</f>
        <v>1.1187397364189244</v>
      </c>
      <c r="U102" s="306"/>
    </row>
    <row r="103" spans="1:21">
      <c r="B103" t="s">
        <v>47</v>
      </c>
      <c r="H103"/>
      <c r="I103" s="170">
        <v>-0.05</v>
      </c>
      <c r="J103" s="171"/>
      <c r="K103" s="172">
        <v>0.05</v>
      </c>
      <c r="L103" s="158">
        <f>xModel!Y51</f>
        <v>0.4020039636130055</v>
      </c>
      <c r="M103" s="300"/>
      <c r="N103" s="158">
        <f>xModel!AA51</f>
        <v>0.38018030539897529</v>
      </c>
      <c r="O103" s="300"/>
      <c r="P103" s="158">
        <f>xModel!AC51</f>
        <v>0.36324752842441865</v>
      </c>
      <c r="Q103" s="306"/>
      <c r="R103" s="155">
        <f>xModel!AE51</f>
        <v>5.5034080994067472E-3</v>
      </c>
      <c r="S103" s="306"/>
      <c r="T103" s="155">
        <f>xModel!AG51</f>
        <v>0.20843945503736541</v>
      </c>
      <c r="U103" s="306"/>
    </row>
    <row r="104" spans="1:21">
      <c r="B104" t="s">
        <v>114</v>
      </c>
      <c r="H104"/>
      <c r="I104" s="170">
        <v>0</v>
      </c>
      <c r="J104" s="171"/>
      <c r="K104" s="172">
        <v>0.5</v>
      </c>
      <c r="L104" s="158">
        <f>xModel!Y52</f>
        <v>1.127905700660881</v>
      </c>
      <c r="M104" s="300"/>
      <c r="N104" s="158">
        <f>xModel!AA52</f>
        <v>0.98824370543869666</v>
      </c>
      <c r="O104" s="300"/>
      <c r="P104" s="158">
        <f>xModel!AC52</f>
        <v>0.82148347689614953</v>
      </c>
      <c r="Q104" s="306"/>
      <c r="R104" s="155">
        <f>xModel!AE52</f>
        <v>1.2356169928151699</v>
      </c>
      <c r="S104" s="306"/>
      <c r="T104" s="155">
        <f>xModel!AG52</f>
        <v>0.91030028138155905</v>
      </c>
      <c r="U104" s="306"/>
    </row>
    <row r="105" spans="1:21" s="156" customFormat="1">
      <c r="A105" s="157">
        <v>5</v>
      </c>
      <c r="B105" s="157" t="s">
        <v>362</v>
      </c>
      <c r="C105" s="157"/>
      <c r="D105" s="157"/>
      <c r="E105" s="157"/>
      <c r="F105" s="157"/>
      <c r="G105" s="157"/>
      <c r="H105" s="157"/>
      <c r="I105" s="165"/>
      <c r="J105" s="168"/>
      <c r="K105" s="169">
        <v>1</v>
      </c>
      <c r="L105" s="159">
        <f>xModel!Y53</f>
        <v>0.21426476482606308</v>
      </c>
      <c r="M105" s="300">
        <f t="shared" si="7"/>
        <v>0</v>
      </c>
      <c r="N105" s="159">
        <f>xModel!AA53</f>
        <v>0.94977357913613347</v>
      </c>
      <c r="O105" s="300">
        <f>IF(N105&lt;K105,0,1)</f>
        <v>0</v>
      </c>
      <c r="P105" s="159">
        <f>xModel!AC53</f>
        <v>0.90855748427238892</v>
      </c>
      <c r="Q105" s="306">
        <f t="shared" si="8"/>
        <v>0</v>
      </c>
      <c r="R105" s="160">
        <f>xModel!AE53</f>
        <v>1.0912925457508313</v>
      </c>
      <c r="S105" s="306">
        <f t="shared" si="9"/>
        <v>1</v>
      </c>
      <c r="T105" s="160">
        <f>xModel!AG53</f>
        <v>1.1002636520532589</v>
      </c>
      <c r="U105" s="306">
        <f t="shared" si="10"/>
        <v>1</v>
      </c>
    </row>
    <row r="106" spans="1:21">
      <c r="B106" t="s">
        <v>38</v>
      </c>
      <c r="H106"/>
      <c r="I106" s="170">
        <v>1</v>
      </c>
      <c r="J106" s="171"/>
      <c r="K106" s="172">
        <v>9</v>
      </c>
      <c r="L106" s="158">
        <f>xModel!Y54</f>
        <v>2.5751671214088621</v>
      </c>
      <c r="M106" s="300"/>
      <c r="N106" s="158">
        <f>xModel!AA54</f>
        <v>2.617961466830717</v>
      </c>
      <c r="O106" s="300"/>
      <c r="P106" s="158">
        <f>xModel!AC54</f>
        <v>2.7970114852693762</v>
      </c>
      <c r="Q106" s="306"/>
      <c r="R106" s="155">
        <f>xModel!AE54</f>
        <v>2.7979114314732407</v>
      </c>
      <c r="S106" s="306"/>
      <c r="T106" s="155">
        <f>xModel!AG54</f>
        <v>2.9885564095505566</v>
      </c>
      <c r="U106" s="306"/>
    </row>
    <row r="107" spans="1:21">
      <c r="B107" t="s">
        <v>39</v>
      </c>
      <c r="H107"/>
      <c r="I107" s="170">
        <v>100000</v>
      </c>
      <c r="J107" s="171"/>
      <c r="K107" s="172">
        <v>250000</v>
      </c>
      <c r="L107" s="158">
        <f>xModel!Y55</f>
        <v>34744.375009505064</v>
      </c>
      <c r="M107" s="300"/>
      <c r="N107" s="158">
        <f>xModel!AA55</f>
        <v>-6778.9419208164618</v>
      </c>
      <c r="O107" s="300"/>
      <c r="P107" s="158">
        <f>xModel!AC55</f>
        <v>8592.9209005587472</v>
      </c>
      <c r="Q107" s="306"/>
      <c r="R107" s="155">
        <f>xModel!AE55</f>
        <v>8420.793261610379</v>
      </c>
      <c r="S107" s="306"/>
      <c r="T107" s="155">
        <f>xModel!AG55</f>
        <v>17315.503006967032</v>
      </c>
      <c r="U107" s="306"/>
    </row>
    <row r="108" spans="1:21">
      <c r="B108" t="s">
        <v>44</v>
      </c>
      <c r="H108" s="7"/>
      <c r="I108" s="170">
        <v>50000</v>
      </c>
      <c r="J108" s="171"/>
      <c r="K108" s="172">
        <v>250000</v>
      </c>
      <c r="L108" s="158">
        <f>xModel!Y56</f>
        <v>34744.375009505064</v>
      </c>
      <c r="M108" s="300"/>
      <c r="N108" s="158">
        <f>xModel!AA56</f>
        <v>-6778.9419208164618</v>
      </c>
      <c r="O108" s="300"/>
      <c r="P108" s="158">
        <f>xModel!AC56</f>
        <v>8592.9209005587472</v>
      </c>
      <c r="Q108" s="306"/>
      <c r="R108" s="155">
        <f>xModel!AE56</f>
        <v>8420.793261610379</v>
      </c>
      <c r="S108" s="306"/>
      <c r="T108" s="155">
        <f>xModel!AG56</f>
        <v>17315.503006967032</v>
      </c>
      <c r="U108" s="306"/>
    </row>
    <row r="109" spans="1:21" ht="15" thickBot="1">
      <c r="B109" t="s">
        <v>51</v>
      </c>
      <c r="I109" s="174">
        <v>0.1</v>
      </c>
      <c r="J109" s="175"/>
      <c r="K109" s="176">
        <v>0.5</v>
      </c>
      <c r="L109" s="158">
        <f>xModel!Y57</f>
        <v>0.12395722645898077</v>
      </c>
      <c r="M109" s="300"/>
      <c r="N109" s="158">
        <f>xModel!AA57</f>
        <v>0.26573659639849878</v>
      </c>
      <c r="O109" s="300"/>
      <c r="P109" s="158">
        <f>xModel!AC57</f>
        <v>0.43412037350454863</v>
      </c>
      <c r="Q109" s="306"/>
      <c r="R109" s="155">
        <f>xModel!AE57</f>
        <v>2.3157435969276299E-2</v>
      </c>
      <c r="S109" s="306"/>
      <c r="T109" s="155">
        <f>xModel!AG57</f>
        <v>0.35050194665172874</v>
      </c>
      <c r="U109" s="306"/>
    </row>
    <row r="110" spans="1:21" s="156" customFormat="1" ht="15" thickTop="1">
      <c r="A110" s="161">
        <v>4</v>
      </c>
      <c r="B110" s="162" t="s">
        <v>315</v>
      </c>
      <c r="C110" s="162"/>
      <c r="D110" s="162"/>
      <c r="E110" s="162"/>
      <c r="F110" s="162"/>
      <c r="G110" s="162"/>
      <c r="I110" s="165"/>
      <c r="J110" s="177"/>
      <c r="K110" s="178">
        <v>0.15</v>
      </c>
      <c r="L110" s="159">
        <f>xModel!Y58</f>
        <v>0</v>
      </c>
      <c r="M110" s="300">
        <f>IF(L110&lt;K110,0,1)</f>
        <v>0</v>
      </c>
      <c r="N110" s="159">
        <f>xModel!AA58</f>
        <v>0</v>
      </c>
      <c r="O110" s="300">
        <f>IF(N110&lt;K110,0,1)</f>
        <v>0</v>
      </c>
      <c r="P110" s="159">
        <f>xModel!AC58</f>
        <v>0</v>
      </c>
      <c r="Q110" s="306">
        <f t="shared" si="8"/>
        <v>0</v>
      </c>
      <c r="R110" s="160">
        <f>xModel!AE58</f>
        <v>0</v>
      </c>
      <c r="S110" s="306">
        <f t="shared" si="9"/>
        <v>0</v>
      </c>
      <c r="T110" s="160">
        <f>xModel!AG58</f>
        <v>0</v>
      </c>
      <c r="U110" s="306">
        <f t="shared" si="10"/>
        <v>0</v>
      </c>
    </row>
    <row r="111" spans="1:21" s="156" customFormat="1">
      <c r="A111" s="161">
        <v>10</v>
      </c>
      <c r="B111" s="162" t="s">
        <v>318</v>
      </c>
      <c r="C111" s="162"/>
      <c r="D111" s="162"/>
      <c r="E111" s="162"/>
      <c r="F111" s="162"/>
      <c r="G111" s="162"/>
      <c r="I111" s="165"/>
      <c r="J111" s="177"/>
      <c r="K111" s="178">
        <v>0.4</v>
      </c>
      <c r="L111" s="159">
        <f>xModel!Y59</f>
        <v>0</v>
      </c>
      <c r="M111" s="300">
        <f t="shared" si="7"/>
        <v>0</v>
      </c>
      <c r="N111" s="159">
        <f>xModel!AA59</f>
        <v>0</v>
      </c>
      <c r="O111" s="300">
        <f t="shared" ref="O111:O113" si="16">IF(N111&lt;K111,0,1)</f>
        <v>0</v>
      </c>
      <c r="P111" s="159">
        <f>xModel!AC59</f>
        <v>0</v>
      </c>
      <c r="Q111" s="306">
        <f t="shared" si="8"/>
        <v>0</v>
      </c>
      <c r="R111" s="160">
        <f>xModel!AE59</f>
        <v>0</v>
      </c>
      <c r="S111" s="306">
        <f t="shared" si="9"/>
        <v>0</v>
      </c>
      <c r="T111" s="160">
        <f>xModel!AG59</f>
        <v>0</v>
      </c>
      <c r="U111" s="306">
        <f t="shared" si="10"/>
        <v>0</v>
      </c>
    </row>
    <row r="112" spans="1:21" s="156" customFormat="1">
      <c r="A112" s="163">
        <v>12</v>
      </c>
      <c r="B112" s="162" t="s">
        <v>320</v>
      </c>
      <c r="C112" s="164"/>
      <c r="D112" s="164"/>
      <c r="E112" s="164"/>
      <c r="F112" s="164"/>
      <c r="G112" s="164"/>
      <c r="I112" s="165"/>
      <c r="J112" s="177"/>
      <c r="K112" s="178">
        <v>0.2</v>
      </c>
      <c r="L112" s="159">
        <f>xModel!Y60</f>
        <v>0.23227179992734295</v>
      </c>
      <c r="M112" s="300">
        <f t="shared" si="7"/>
        <v>1</v>
      </c>
      <c r="N112" s="159">
        <f>xModel!AA60</f>
        <v>0.19397717107476298</v>
      </c>
      <c r="O112" s="300">
        <f t="shared" si="16"/>
        <v>0</v>
      </c>
      <c r="P112" s="159">
        <f>xModel!AC60</f>
        <v>9.4784195922150358E-3</v>
      </c>
      <c r="Q112" s="306">
        <f t="shared" si="8"/>
        <v>0</v>
      </c>
      <c r="R112" s="160">
        <f>xModel!AE60</f>
        <v>-5.7495449690634654E-3</v>
      </c>
      <c r="S112" s="306">
        <f t="shared" si="9"/>
        <v>0</v>
      </c>
      <c r="T112" s="160">
        <f>xModel!AG60</f>
        <v>-1.3799594799471574E-2</v>
      </c>
      <c r="U112" s="306">
        <f t="shared" si="10"/>
        <v>0</v>
      </c>
    </row>
    <row r="113" spans="1:21" s="156" customFormat="1">
      <c r="A113" s="161">
        <v>13</v>
      </c>
      <c r="B113" s="162" t="s">
        <v>336</v>
      </c>
      <c r="C113" s="162"/>
      <c r="D113" s="162"/>
      <c r="E113" s="162"/>
      <c r="F113" s="162"/>
      <c r="G113" s="162"/>
      <c r="I113" s="165"/>
      <c r="J113" s="177"/>
      <c r="K113" s="178">
        <v>0.25</v>
      </c>
      <c r="L113" s="159">
        <f>xModel!Y61</f>
        <v>-0.23174967594514209</v>
      </c>
      <c r="M113" s="300">
        <f t="shared" si="7"/>
        <v>0</v>
      </c>
      <c r="N113" s="159">
        <f>xModel!AA61</f>
        <v>-0.1158982354876601</v>
      </c>
      <c r="O113" s="300">
        <f t="shared" si="16"/>
        <v>0</v>
      </c>
      <c r="P113" s="159">
        <f>xModel!AC61</f>
        <v>8.1734158606704948E-3</v>
      </c>
      <c r="Q113" s="306">
        <f t="shared" si="8"/>
        <v>0</v>
      </c>
      <c r="R113" s="160">
        <f>xModel!AE61</f>
        <v>6.8913314854698975E-3</v>
      </c>
      <c r="S113" s="306">
        <f t="shared" si="9"/>
        <v>0</v>
      </c>
      <c r="T113" s="160">
        <f>xModel!AG61</f>
        <v>6.3877938409090456E-3</v>
      </c>
      <c r="U113" s="306">
        <f t="shared" si="10"/>
        <v>0</v>
      </c>
    </row>
    <row r="114" spans="1:21">
      <c r="A114" s="298"/>
      <c r="B114" s="299" t="s">
        <v>377</v>
      </c>
      <c r="C114" s="298"/>
      <c r="D114" s="298"/>
      <c r="E114" s="298"/>
      <c r="F114" s="298"/>
      <c r="G114" s="298"/>
      <c r="H114" s="7"/>
      <c r="I114" s="297">
        <v>1.5</v>
      </c>
      <c r="J114" s="177"/>
      <c r="K114" s="178"/>
      <c r="L114" s="302">
        <f>1/L88</f>
        <v>3.6002277771608409</v>
      </c>
      <c r="M114" s="301">
        <f>IF(I114&lt;Net_Premium_Yr1,1,0)</f>
        <v>1</v>
      </c>
      <c r="N114" s="302">
        <f t="shared" ref="N114:T114" si="17">1/N88</f>
        <v>3.7448160411322413</v>
      </c>
      <c r="O114" s="301">
        <f>IF(I114&lt;Net_Premium_Yr2,1,0)</f>
        <v>1</v>
      </c>
      <c r="P114" s="302">
        <f t="shared" si="17"/>
        <v>4.0138303834750033</v>
      </c>
      <c r="Q114" s="301">
        <f>IF(I114&lt;Net_Premium_Yr3,1,0)</f>
        <v>1</v>
      </c>
      <c r="R114" s="302">
        <f t="shared" si="17"/>
        <v>3.9717056983896701</v>
      </c>
      <c r="S114" s="301">
        <f>IF(I114&lt;Net_Premium_Yr4,1,0)</f>
        <v>1</v>
      </c>
      <c r="T114" s="302">
        <f t="shared" si="17"/>
        <v>4.1742306733896868</v>
      </c>
      <c r="U114" s="156">
        <f>IF(I114&lt;Net_Premium_Yr5,1,0)</f>
        <v>1</v>
      </c>
    </row>
    <row r="115" spans="1:21">
      <c r="L115" s="304">
        <v>0.76</v>
      </c>
      <c r="M115" s="305">
        <f>SUM(M87:M113)</f>
        <v>4</v>
      </c>
      <c r="N115" s="304">
        <v>0.87</v>
      </c>
      <c r="O115" s="305">
        <f>SUM(O87:O113)</f>
        <v>2</v>
      </c>
      <c r="P115" s="304">
        <v>0.94</v>
      </c>
      <c r="Q115" s="305">
        <f>SUM(Q87:Q113)</f>
        <v>3</v>
      </c>
      <c r="R115" s="304">
        <v>0.88</v>
      </c>
      <c r="S115" s="305">
        <f>SUM(S87:S113)</f>
        <v>3</v>
      </c>
      <c r="T115" s="304">
        <v>0.79</v>
      </c>
      <c r="U115" s="305">
        <f>SUM(U87:U113)</f>
        <v>3</v>
      </c>
    </row>
    <row r="116" spans="1:21">
      <c r="L116" s="319"/>
      <c r="N116" s="318"/>
      <c r="P116" s="318"/>
      <c r="R116" s="318"/>
      <c r="T116" s="318"/>
    </row>
    <row r="117" spans="1:21">
      <c r="G117" s="326" t="s">
        <v>481</v>
      </c>
      <c r="L117" s="320"/>
    </row>
    <row r="118" spans="1:21">
      <c r="B118" s="32"/>
      <c r="C118" s="32"/>
      <c r="D118" s="32"/>
      <c r="E118" s="32"/>
      <c r="F118" s="32"/>
      <c r="G118" s="32"/>
      <c r="H118" s="25"/>
      <c r="I118" s="32"/>
      <c r="J118" s="25"/>
      <c r="K118" s="32"/>
      <c r="L118" s="25">
        <v>100</v>
      </c>
      <c r="M118" s="32"/>
      <c r="N118" s="25"/>
      <c r="O118" s="32"/>
      <c r="P118" s="25"/>
    </row>
    <row r="119" spans="1:21">
      <c r="G119" t="s">
        <v>480</v>
      </c>
      <c r="L119" s="324">
        <v>2</v>
      </c>
    </row>
    <row r="120" spans="1:21">
      <c r="A120" s="7"/>
      <c r="B120" s="7"/>
      <c r="C120" s="7"/>
      <c r="D120" s="7"/>
      <c r="E120" s="7"/>
      <c r="F120" s="7"/>
      <c r="G120" s="7" t="s">
        <v>479</v>
      </c>
      <c r="L120" s="323">
        <v>0.456789</v>
      </c>
    </row>
    <row r="121" spans="1:21">
      <c r="G121" t="s">
        <v>379</v>
      </c>
      <c r="K121"/>
      <c r="L121" s="322">
        <v>1</v>
      </c>
      <c r="M121"/>
      <c r="O121"/>
      <c r="P121"/>
    </row>
    <row r="122" spans="1:21">
      <c r="G122" s="7" t="s">
        <v>380</v>
      </c>
      <c r="K122" s="9"/>
      <c r="L122" s="325">
        <v>1</v>
      </c>
      <c r="M122" s="80"/>
      <c r="N122" s="80"/>
      <c r="O122" s="80"/>
      <c r="P122" s="80"/>
    </row>
    <row r="123" spans="1:21">
      <c r="G123" s="7" t="s">
        <v>381</v>
      </c>
      <c r="K123" s="80"/>
      <c r="L123" s="323">
        <v>1</v>
      </c>
    </row>
    <row r="124" spans="1:21">
      <c r="G124" s="7" t="s">
        <v>382</v>
      </c>
      <c r="K124" s="80"/>
      <c r="L124" s="323">
        <v>0.75</v>
      </c>
    </row>
    <row r="125" spans="1:21">
      <c r="G125" s="7" t="s">
        <v>383</v>
      </c>
      <c r="K125" s="80"/>
      <c r="L125" s="323">
        <v>0.6</v>
      </c>
    </row>
    <row r="126" spans="1:21">
      <c r="G126" s="7" t="s">
        <v>384</v>
      </c>
      <c r="K126" s="80"/>
      <c r="L126" s="323">
        <v>0.66666666666666663</v>
      </c>
    </row>
    <row r="127" spans="1:21">
      <c r="G127" s="7" t="s">
        <v>385</v>
      </c>
      <c r="K127" s="80"/>
      <c r="L127" s="323">
        <v>0.7142857142857143</v>
      </c>
    </row>
    <row r="128" spans="1:21">
      <c r="G128" s="7" t="s">
        <v>386</v>
      </c>
      <c r="K128" s="80"/>
      <c r="L128" s="323">
        <v>0.625</v>
      </c>
    </row>
    <row r="129" spans="7:12">
      <c r="G129" s="7" t="s">
        <v>387</v>
      </c>
      <c r="L129" s="323">
        <v>0.66666666666666663</v>
      </c>
    </row>
    <row r="130" spans="7:12">
      <c r="G130" s="7" t="s">
        <v>388</v>
      </c>
      <c r="L130" s="323">
        <v>0.7</v>
      </c>
    </row>
    <row r="131" spans="7:12">
      <c r="G131" s="7" t="s">
        <v>389</v>
      </c>
      <c r="L131" s="323">
        <v>0.72727272727272729</v>
      </c>
    </row>
    <row r="132" spans="7:12">
      <c r="G132" s="7" t="s">
        <v>390</v>
      </c>
      <c r="L132" s="323">
        <v>0.75</v>
      </c>
    </row>
    <row r="133" spans="7:12">
      <c r="G133" s="7" t="s">
        <v>391</v>
      </c>
      <c r="L133" s="323">
        <v>0.76923076923076927</v>
      </c>
    </row>
    <row r="134" spans="7:12">
      <c r="G134" s="7" t="s">
        <v>392</v>
      </c>
      <c r="L134" s="323">
        <v>0.7857142857142857</v>
      </c>
    </row>
    <row r="135" spans="7:12">
      <c r="G135" s="7" t="s">
        <v>393</v>
      </c>
      <c r="L135" s="323">
        <v>0.8</v>
      </c>
    </row>
    <row r="136" spans="7:12">
      <c r="G136" s="7" t="s">
        <v>394</v>
      </c>
      <c r="L136" s="323">
        <v>0.8125</v>
      </c>
    </row>
    <row r="137" spans="7:12">
      <c r="G137" s="7" t="s">
        <v>395</v>
      </c>
      <c r="L137" s="323">
        <v>0.76470588235294112</v>
      </c>
    </row>
    <row r="138" spans="7:12">
      <c r="G138" s="7" t="s">
        <v>396</v>
      </c>
      <c r="L138" s="323">
        <v>0.77777777777777779</v>
      </c>
    </row>
    <row r="139" spans="7:12">
      <c r="G139" s="7" t="s">
        <v>397</v>
      </c>
      <c r="L139" s="323">
        <v>0.78947368421052633</v>
      </c>
    </row>
    <row r="140" spans="7:12">
      <c r="G140" s="7" t="s">
        <v>398</v>
      </c>
      <c r="L140" s="323">
        <v>0.8</v>
      </c>
    </row>
    <row r="141" spans="7:12">
      <c r="G141" s="7" t="s">
        <v>399</v>
      </c>
      <c r="L141" s="323">
        <v>0.80952380952380953</v>
      </c>
    </row>
    <row r="142" spans="7:12">
      <c r="G142" s="7" t="s">
        <v>400</v>
      </c>
      <c r="L142" s="323">
        <v>0.81818181818181823</v>
      </c>
    </row>
    <row r="143" spans="7:12">
      <c r="G143" s="7" t="s">
        <v>401</v>
      </c>
      <c r="L143" s="323">
        <v>0.82608695652173914</v>
      </c>
    </row>
    <row r="144" spans="7:12">
      <c r="G144" s="7" t="s">
        <v>402</v>
      </c>
      <c r="L144" s="323">
        <v>0.83333333333333337</v>
      </c>
    </row>
    <row r="145" spans="7:12">
      <c r="G145" s="7" t="s">
        <v>403</v>
      </c>
      <c r="L145" s="323">
        <v>0.84</v>
      </c>
    </row>
    <row r="146" spans="7:12">
      <c r="G146" s="7" t="s">
        <v>404</v>
      </c>
      <c r="L146" s="323">
        <v>0.84615384615384615</v>
      </c>
    </row>
    <row r="147" spans="7:12">
      <c r="G147" s="7" t="s">
        <v>405</v>
      </c>
      <c r="L147" s="323">
        <v>0.81481481481481477</v>
      </c>
    </row>
    <row r="148" spans="7:12">
      <c r="G148" s="7" t="s">
        <v>406</v>
      </c>
      <c r="L148" s="323">
        <v>0.8214285714285714</v>
      </c>
    </row>
    <row r="149" spans="7:12">
      <c r="G149" s="7" t="s">
        <v>407</v>
      </c>
      <c r="L149" s="323">
        <v>0.82758620689655171</v>
      </c>
    </row>
    <row r="150" spans="7:12">
      <c r="G150" s="7" t="s">
        <v>408</v>
      </c>
      <c r="L150" s="323">
        <v>0.83333333333333337</v>
      </c>
    </row>
    <row r="151" spans="7:12">
      <c r="G151" s="7" t="s">
        <v>409</v>
      </c>
      <c r="L151" s="323">
        <v>0.80645161290322576</v>
      </c>
    </row>
    <row r="152" spans="7:12">
      <c r="G152" s="7" t="s">
        <v>410</v>
      </c>
      <c r="L152" s="323">
        <v>0.8125</v>
      </c>
    </row>
    <row r="153" spans="7:12">
      <c r="G153" s="7" t="s">
        <v>411</v>
      </c>
      <c r="L153" s="323">
        <v>0.81818181818181823</v>
      </c>
    </row>
    <row r="154" spans="7:12">
      <c r="G154" s="7" t="s">
        <v>412</v>
      </c>
      <c r="L154" s="323">
        <v>0.82352941176470584</v>
      </c>
    </row>
    <row r="155" spans="7:12">
      <c r="G155" s="7" t="s">
        <v>413</v>
      </c>
      <c r="L155" s="323">
        <v>0.82857142857142863</v>
      </c>
    </row>
    <row r="156" spans="7:12">
      <c r="G156" s="7" t="s">
        <v>414</v>
      </c>
      <c r="L156" s="323">
        <v>0.83333333333333337</v>
      </c>
    </row>
    <row r="157" spans="7:12">
      <c r="G157" s="7" t="s">
        <v>415</v>
      </c>
      <c r="L157" s="323">
        <v>0.83783783783783783</v>
      </c>
    </row>
    <row r="158" spans="7:12">
      <c r="G158" s="7" t="s">
        <v>416</v>
      </c>
      <c r="L158" s="323">
        <v>0.81578947368421051</v>
      </c>
    </row>
    <row r="159" spans="7:12">
      <c r="G159" s="7" t="s">
        <v>417</v>
      </c>
      <c r="L159" s="323">
        <v>0.82051282051282048</v>
      </c>
    </row>
    <row r="160" spans="7:12">
      <c r="G160" s="7" t="s">
        <v>418</v>
      </c>
      <c r="L160" s="323">
        <v>0.82499999999999996</v>
      </c>
    </row>
    <row r="161" spans="7:12">
      <c r="G161" s="7" t="s">
        <v>419</v>
      </c>
      <c r="L161" s="323">
        <v>0.82926829268292679</v>
      </c>
    </row>
    <row r="162" spans="7:12">
      <c r="G162" s="7" t="s">
        <v>420</v>
      </c>
      <c r="L162" s="323">
        <v>0.80952380952380953</v>
      </c>
    </row>
    <row r="163" spans="7:12">
      <c r="G163" s="7" t="s">
        <v>421</v>
      </c>
      <c r="L163" s="323">
        <v>0.79069767441860461</v>
      </c>
    </row>
    <row r="164" spans="7:12">
      <c r="G164" s="7" t="s">
        <v>422</v>
      </c>
      <c r="L164" s="323">
        <v>0.77272727272727271</v>
      </c>
    </row>
    <row r="165" spans="7:12">
      <c r="G165" s="7" t="s">
        <v>423</v>
      </c>
      <c r="L165" s="323">
        <v>0.77777777777777779</v>
      </c>
    </row>
    <row r="166" spans="7:12">
      <c r="G166" s="7" t="s">
        <v>424</v>
      </c>
      <c r="L166" s="323">
        <v>0.76086956521739135</v>
      </c>
    </row>
    <row r="167" spans="7:12">
      <c r="G167" s="7" t="s">
        <v>425</v>
      </c>
      <c r="L167" s="323">
        <v>0.74468085106382975</v>
      </c>
    </row>
    <row r="168" spans="7:12">
      <c r="G168" s="7" t="s">
        <v>426</v>
      </c>
      <c r="L168" s="323">
        <v>0.72916666666666663</v>
      </c>
    </row>
    <row r="169" spans="7:12">
      <c r="G169" s="7" t="s">
        <v>427</v>
      </c>
      <c r="L169" s="323">
        <v>0.73469387755102045</v>
      </c>
    </row>
    <row r="170" spans="7:12">
      <c r="G170" s="7" t="s">
        <v>428</v>
      </c>
      <c r="L170" s="323">
        <v>0.74</v>
      </c>
    </row>
    <row r="171" spans="7:12">
      <c r="G171" s="7" t="s">
        <v>429</v>
      </c>
      <c r="L171" s="323">
        <v>0.72549019607843135</v>
      </c>
    </row>
    <row r="172" spans="7:12">
      <c r="G172" s="7" t="s">
        <v>430</v>
      </c>
      <c r="L172" s="323">
        <v>0.71153846153846156</v>
      </c>
    </row>
    <row r="173" spans="7:12">
      <c r="G173" s="7" t="s">
        <v>431</v>
      </c>
      <c r="L173" s="323">
        <v>0.71698113207547165</v>
      </c>
    </row>
    <row r="174" spans="7:12">
      <c r="G174" s="7" t="s">
        <v>432</v>
      </c>
      <c r="L174" s="323">
        <v>0.72222222222222221</v>
      </c>
    </row>
    <row r="175" spans="7:12">
      <c r="G175" s="7" t="s">
        <v>433</v>
      </c>
      <c r="L175" s="323">
        <v>0.72727272727272729</v>
      </c>
    </row>
    <row r="176" spans="7:12">
      <c r="G176" s="7" t="s">
        <v>434</v>
      </c>
      <c r="L176" s="323">
        <v>0.7142857142857143</v>
      </c>
    </row>
    <row r="177" spans="7:13">
      <c r="G177" s="7" t="s">
        <v>435</v>
      </c>
      <c r="L177" s="323">
        <v>0.7192982456140351</v>
      </c>
    </row>
    <row r="178" spans="7:13">
      <c r="G178" s="7" t="s">
        <v>436</v>
      </c>
      <c r="L178" s="323">
        <v>0.72413793103448276</v>
      </c>
    </row>
    <row r="179" spans="7:13">
      <c r="G179" s="7" t="s">
        <v>437</v>
      </c>
      <c r="L179" s="323">
        <v>0.72881355932203384</v>
      </c>
    </row>
    <row r="180" spans="7:13">
      <c r="G180" s="7" t="s">
        <v>438</v>
      </c>
      <c r="L180" s="323">
        <v>0.73333333333333328</v>
      </c>
    </row>
    <row r="181" spans="7:13">
      <c r="G181" s="7" t="s">
        <v>439</v>
      </c>
      <c r="L181" s="323">
        <v>0.72131147540983609</v>
      </c>
    </row>
    <row r="182" spans="7:13">
      <c r="G182" s="7" t="s">
        <v>440</v>
      </c>
      <c r="L182" s="323">
        <v>0.72580645161290325</v>
      </c>
    </row>
    <row r="183" spans="7:13">
      <c r="G183" s="7" t="s">
        <v>441</v>
      </c>
      <c r="L183" s="323">
        <v>0.73015873015873012</v>
      </c>
    </row>
    <row r="184" spans="7:13">
      <c r="G184" s="7" t="s">
        <v>442</v>
      </c>
      <c r="L184" s="323">
        <v>0.71875</v>
      </c>
    </row>
    <row r="185" spans="7:13">
      <c r="G185" s="7" t="s">
        <v>443</v>
      </c>
      <c r="L185" s="323">
        <v>0.70769230769230773</v>
      </c>
    </row>
    <row r="186" spans="7:13">
      <c r="G186" s="7" t="s">
        <v>444</v>
      </c>
      <c r="L186" s="323">
        <v>0.71212121212121215</v>
      </c>
    </row>
    <row r="187" spans="7:13">
      <c r="G187" s="7" t="s">
        <v>445</v>
      </c>
      <c r="L187" s="323">
        <v>0.71641791044776115</v>
      </c>
    </row>
    <row r="188" spans="7:13">
      <c r="G188" s="7" t="s">
        <v>446</v>
      </c>
      <c r="L188" s="323">
        <v>0.72058823529411764</v>
      </c>
    </row>
    <row r="189" spans="7:13">
      <c r="G189" s="7" t="s">
        <v>447</v>
      </c>
      <c r="L189" s="323">
        <v>0.72463768115942029</v>
      </c>
    </row>
    <row r="190" spans="7:13">
      <c r="G190" s="7" t="s">
        <v>448</v>
      </c>
      <c r="L190" s="323">
        <v>0.72857142857142854</v>
      </c>
    </row>
    <row r="191" spans="7:13">
      <c r="G191" s="7" t="s">
        <v>449</v>
      </c>
      <c r="L191" s="323">
        <v>0.73239436619718312</v>
      </c>
      <c r="M191" s="321"/>
    </row>
    <row r="192" spans="7:13">
      <c r="G192" s="7" t="s">
        <v>450</v>
      </c>
      <c r="L192" s="323">
        <v>0.73611111111111116</v>
      </c>
    </row>
    <row r="193" spans="7:12">
      <c r="G193" s="7" t="s">
        <v>451</v>
      </c>
      <c r="L193" s="323">
        <v>0.73972602739726023</v>
      </c>
    </row>
    <row r="194" spans="7:12">
      <c r="G194" s="7" t="s">
        <v>452</v>
      </c>
      <c r="L194" s="323">
        <v>0.7432432432432432</v>
      </c>
    </row>
    <row r="195" spans="7:12">
      <c r="G195" s="7" t="s">
        <v>453</v>
      </c>
      <c r="L195" s="323">
        <v>0.7466666666666667</v>
      </c>
    </row>
    <row r="196" spans="7:12">
      <c r="G196" s="7" t="s">
        <v>454</v>
      </c>
      <c r="L196" s="323">
        <v>0.75</v>
      </c>
    </row>
    <row r="197" spans="7:12">
      <c r="G197" s="7" t="s">
        <v>455</v>
      </c>
      <c r="L197" s="323">
        <v>0.74025974025974028</v>
      </c>
    </row>
    <row r="198" spans="7:12">
      <c r="G198" s="7" t="s">
        <v>456</v>
      </c>
      <c r="L198" s="323">
        <v>0.74358974358974361</v>
      </c>
    </row>
    <row r="199" spans="7:12">
      <c r="G199" s="7" t="s">
        <v>457</v>
      </c>
      <c r="L199" s="323">
        <v>0.74683544303797467</v>
      </c>
    </row>
    <row r="200" spans="7:12">
      <c r="G200" s="7" t="s">
        <v>458</v>
      </c>
      <c r="L200" s="323">
        <v>0.75</v>
      </c>
    </row>
    <row r="201" spans="7:12">
      <c r="G201" s="7" t="s">
        <v>459</v>
      </c>
      <c r="L201" s="323">
        <v>0.75308641975308643</v>
      </c>
    </row>
    <row r="202" spans="7:12">
      <c r="G202" s="7" t="s">
        <v>460</v>
      </c>
      <c r="L202" s="323">
        <v>0.74390243902439024</v>
      </c>
    </row>
    <row r="203" spans="7:12">
      <c r="G203" s="7" t="s">
        <v>461</v>
      </c>
      <c r="L203" s="323">
        <v>0.73493975903614461</v>
      </c>
    </row>
    <row r="204" spans="7:12">
      <c r="G204" s="7" t="s">
        <v>462</v>
      </c>
      <c r="L204" s="323">
        <v>0.73809523809523814</v>
      </c>
    </row>
    <row r="205" spans="7:12">
      <c r="G205" s="7" t="s">
        <v>463</v>
      </c>
      <c r="L205" s="323">
        <v>0.74117647058823533</v>
      </c>
    </row>
    <row r="206" spans="7:12">
      <c r="G206" s="7" t="s">
        <v>464</v>
      </c>
      <c r="L206" s="323">
        <v>0.7441860465116279</v>
      </c>
    </row>
    <row r="207" spans="7:12">
      <c r="G207" s="7" t="s">
        <v>465</v>
      </c>
      <c r="L207" s="323">
        <v>0.74712643678160917</v>
      </c>
    </row>
    <row r="208" spans="7:12">
      <c r="G208" s="7" t="s">
        <v>466</v>
      </c>
      <c r="L208" s="323">
        <v>0.75</v>
      </c>
    </row>
    <row r="209" spans="7:12">
      <c r="G209" s="7" t="s">
        <v>467</v>
      </c>
      <c r="L209" s="323">
        <v>0.7528089887640449</v>
      </c>
    </row>
    <row r="210" spans="7:12">
      <c r="G210" s="7" t="s">
        <v>468</v>
      </c>
      <c r="L210" s="323">
        <v>0.75555555555555554</v>
      </c>
    </row>
    <row r="211" spans="7:12">
      <c r="G211" s="7" t="s">
        <v>469</v>
      </c>
      <c r="L211" s="323">
        <v>0.75824175824175821</v>
      </c>
    </row>
    <row r="212" spans="7:12">
      <c r="G212" s="7" t="s">
        <v>470</v>
      </c>
      <c r="L212" s="323">
        <v>0.76086956521739135</v>
      </c>
    </row>
    <row r="213" spans="7:12">
      <c r="G213" s="7" t="s">
        <v>471</v>
      </c>
      <c r="L213" s="323">
        <v>0.76344086021505375</v>
      </c>
    </row>
    <row r="214" spans="7:12">
      <c r="G214" s="7" t="s">
        <v>472</v>
      </c>
      <c r="L214" s="323">
        <v>0.76595744680851063</v>
      </c>
    </row>
    <row r="215" spans="7:12">
      <c r="G215" s="7" t="s">
        <v>473</v>
      </c>
      <c r="L215" s="323">
        <v>0.76842105263157889</v>
      </c>
    </row>
    <row r="216" spans="7:12">
      <c r="G216" s="7" t="s">
        <v>474</v>
      </c>
      <c r="L216" s="323">
        <v>0.77083333333333337</v>
      </c>
    </row>
    <row r="217" spans="7:12">
      <c r="G217" s="7" t="s">
        <v>475</v>
      </c>
      <c r="L217" s="323">
        <v>0.77319587628865982</v>
      </c>
    </row>
    <row r="218" spans="7:12">
      <c r="G218" s="7" t="s">
        <v>476</v>
      </c>
      <c r="L218" s="323">
        <v>0.76530612244897955</v>
      </c>
    </row>
    <row r="219" spans="7:12">
      <c r="G219" s="7" t="s">
        <v>477</v>
      </c>
      <c r="L219" s="323">
        <v>0.76767676767676762</v>
      </c>
    </row>
    <row r="220" spans="7:12">
      <c r="G220" s="7" t="s">
        <v>478</v>
      </c>
      <c r="L220" s="323">
        <v>0.76</v>
      </c>
    </row>
  </sheetData>
  <phoneticPr fontId="26" type="noConversion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FFFF00"/>
  </sheetPr>
  <dimension ref="A2:U53"/>
  <sheetViews>
    <sheetView workbookViewId="0">
      <selection activeCell="Q26" sqref="Q26"/>
    </sheetView>
  </sheetViews>
  <sheetFormatPr defaultColWidth="8.81640625" defaultRowHeight="14.5"/>
  <cols>
    <col min="2" max="2" width="2.36328125" customWidth="1"/>
    <col min="3" max="3" width="12.08984375" customWidth="1"/>
    <col min="4" max="4" width="11.08984375" customWidth="1"/>
    <col min="5" max="6" width="10" bestFit="1" customWidth="1"/>
    <col min="7" max="7" width="9.81640625" customWidth="1"/>
    <col min="8" max="9" width="10" bestFit="1" customWidth="1"/>
    <col min="10" max="10" width="7.81640625" customWidth="1"/>
    <col min="11" max="12" width="9.36328125" customWidth="1"/>
    <col min="13" max="17" width="11.08984375" customWidth="1"/>
    <col min="20" max="20" width="11" customWidth="1"/>
  </cols>
  <sheetData>
    <row r="2" spans="1:21" ht="26">
      <c r="B2" s="1" t="s">
        <v>153</v>
      </c>
    </row>
    <row r="4" spans="1:21">
      <c r="B4" t="s">
        <v>154</v>
      </c>
    </row>
    <row r="6" spans="1:21" ht="15" thickBot="1">
      <c r="C6" s="53" t="s">
        <v>11</v>
      </c>
      <c r="D6" s="53" t="s">
        <v>256</v>
      </c>
      <c r="E6" s="53" t="s">
        <v>96</v>
      </c>
      <c r="F6" s="53" t="s">
        <v>97</v>
      </c>
      <c r="G6" s="53" t="s">
        <v>98</v>
      </c>
      <c r="H6" s="53" t="s">
        <v>99</v>
      </c>
      <c r="I6" s="53" t="s">
        <v>100</v>
      </c>
    </row>
    <row r="7" spans="1:21">
      <c r="C7" s="154">
        <f>retention_5years</f>
        <v>250000</v>
      </c>
      <c r="D7" s="51" t="s">
        <v>286</v>
      </c>
      <c r="E7" s="153">
        <v>280385.14939407044</v>
      </c>
      <c r="F7" s="153">
        <v>239631.36202317107</v>
      </c>
      <c r="G7" s="153">
        <v>191574.91409549193</v>
      </c>
      <c r="H7" s="153">
        <v>208968.07635913842</v>
      </c>
      <c r="I7" s="153">
        <v>175902.23972894219</v>
      </c>
    </row>
    <row r="9" spans="1:21">
      <c r="G9">
        <v>0</v>
      </c>
    </row>
    <row r="10" spans="1:21">
      <c r="B10" t="s">
        <v>22</v>
      </c>
    </row>
    <row r="11" spans="1:21">
      <c r="G11">
        <v>0</v>
      </c>
    </row>
    <row r="12" spans="1:21">
      <c r="E12" s="51"/>
      <c r="G12" s="51" t="s">
        <v>151</v>
      </c>
      <c r="M12" s="51"/>
      <c r="O12" s="51" t="s">
        <v>151</v>
      </c>
    </row>
    <row r="13" spans="1:21" ht="15" thickBot="1">
      <c r="A13" s="63"/>
      <c r="D13" s="53" t="s">
        <v>11</v>
      </c>
      <c r="E13" s="53" t="s">
        <v>149</v>
      </c>
      <c r="F13" s="53" t="s">
        <v>150</v>
      </c>
      <c r="G13" s="53">
        <v>0</v>
      </c>
      <c r="H13" s="53" t="s">
        <v>99</v>
      </c>
      <c r="I13" s="53" t="s">
        <v>100</v>
      </c>
      <c r="K13" s="53" t="s">
        <v>11</v>
      </c>
      <c r="L13" s="53" t="s">
        <v>256</v>
      </c>
      <c r="M13" s="53" t="s">
        <v>96</v>
      </c>
      <c r="N13" s="53" t="s">
        <v>97</v>
      </c>
      <c r="O13" s="53" t="s">
        <v>98</v>
      </c>
      <c r="P13" s="53" t="s">
        <v>99</v>
      </c>
      <c r="Q13" s="53" t="s">
        <v>100</v>
      </c>
      <c r="T13" s="89" t="s">
        <v>254</v>
      </c>
    </row>
    <row r="14" spans="1:21">
      <c r="C14" t="s">
        <v>23</v>
      </c>
      <c r="D14" s="51" t="str">
        <f>'Setup 2'!C12</f>
        <v>$25,000</v>
      </c>
      <c r="E14" s="86">
        <f>'Setup 1'!F32</f>
        <v>0.59336</v>
      </c>
      <c r="F14" s="86">
        <f>'Setup 1'!G32</f>
        <v>0.59336</v>
      </c>
      <c r="G14" s="86">
        <f>'Setup 1'!H32</f>
        <v>0.59336</v>
      </c>
      <c r="H14" s="86">
        <f>'Setup 1'!I32</f>
        <v>0.59336</v>
      </c>
      <c r="I14" s="86">
        <f>'Setup 1'!J32</f>
        <v>0.59336</v>
      </c>
      <c r="J14">
        <f>VLOOKUP(VALUE(K14),$T$14:$U$20,2,FALSE)</f>
        <v>2</v>
      </c>
      <c r="K14" s="51" t="str">
        <f>D14</f>
        <v>$25,000</v>
      </c>
      <c r="L14" s="51" t="str">
        <f>C14</f>
        <v>R1L1</v>
      </c>
      <c r="M14" s="88">
        <f>VLOOKUP(E14,xReserves!$J$21:$Q$33,$J14,FALSE)</f>
        <v>65000.000000000007</v>
      </c>
      <c r="N14" s="88">
        <f>VLOOKUP(F14,xReserves!$J$21:$Q$33,$J14,FALSE)</f>
        <v>65000.000000000007</v>
      </c>
      <c r="O14" s="88">
        <f>VLOOKUP(G14,xReserves!$J$21:$Q$33,$J14,FALSE)</f>
        <v>65000.000000000007</v>
      </c>
      <c r="P14" s="88">
        <f>VLOOKUP(H14,xReserves!$J$21:$Q$33,$J14,FALSE)</f>
        <v>65000.000000000007</v>
      </c>
      <c r="Q14" s="88">
        <f>VLOOKUP(I14,xReserves!$J$21:$Q$33,$J14,FALSE)</f>
        <v>65000.000000000007</v>
      </c>
      <c r="T14" s="4">
        <v>25000</v>
      </c>
      <c r="U14" s="4">
        <v>2</v>
      </c>
    </row>
    <row r="15" spans="1:21">
      <c r="C15" t="s">
        <v>24</v>
      </c>
      <c r="D15" s="51" t="str">
        <f>D14</f>
        <v>$25,000</v>
      </c>
      <c r="E15" s="86">
        <f>'Setup 1'!F33</f>
        <v>0.95</v>
      </c>
      <c r="F15" s="86">
        <f>'Setup 1'!G33</f>
        <v>0.59336</v>
      </c>
      <c r="G15" s="86">
        <f>'Setup 1'!H33</f>
        <v>0.59336</v>
      </c>
      <c r="H15" s="86">
        <f>'Setup 1'!I33</f>
        <v>0.95</v>
      </c>
      <c r="I15" s="86">
        <f>'Setup 1'!J33</f>
        <v>0.59336</v>
      </c>
      <c r="J15">
        <f t="shared" ref="J15:J33" si="0">VLOOKUP(VALUE(K15),$T$14:$U$20,2,FALSE)</f>
        <v>2</v>
      </c>
      <c r="K15" s="51" t="str">
        <f t="shared" ref="K15:K33" si="1">D15</f>
        <v>$25,000</v>
      </c>
      <c r="L15" s="51" t="str">
        <f t="shared" ref="L15:L33" si="2">C15</f>
        <v>R1L2</v>
      </c>
      <c r="M15" s="88">
        <f>VLOOKUP(E15,xReserves!$J$21:$Q$33,$J15,FALSE)</f>
        <v>126445.8</v>
      </c>
      <c r="N15" s="88">
        <f>VLOOKUP(F15,xReserves!$J$21:$Q$33,$J15,FALSE)</f>
        <v>65000.000000000007</v>
      </c>
      <c r="O15" s="88">
        <f>VLOOKUP(G15,xReserves!$J$21:$Q$33,$J15,FALSE)</f>
        <v>65000.000000000007</v>
      </c>
      <c r="P15" s="88">
        <f>VLOOKUP(H15,xReserves!$J$21:$Q$33,$J15,FALSE)</f>
        <v>126445.8</v>
      </c>
      <c r="Q15" s="88">
        <f>VLOOKUP(I15,xReserves!$J$21:$Q$33,$J15,FALSE)</f>
        <v>65000.000000000007</v>
      </c>
      <c r="T15" s="4">
        <v>50000</v>
      </c>
      <c r="U15" s="4">
        <v>3</v>
      </c>
    </row>
    <row r="16" spans="1:21">
      <c r="C16" t="s">
        <v>25</v>
      </c>
      <c r="D16" s="51" t="str">
        <f>D15</f>
        <v>$25,000</v>
      </c>
      <c r="E16" s="86">
        <f>'Setup 1'!F34</f>
        <v>0.65</v>
      </c>
      <c r="F16" s="86">
        <f>'Setup 1'!G34</f>
        <v>0.65</v>
      </c>
      <c r="G16" s="86">
        <f>'Setup 1'!H34</f>
        <v>0.65</v>
      </c>
      <c r="H16" s="86">
        <f>'Setup 1'!I34</f>
        <v>0.65</v>
      </c>
      <c r="I16" s="86">
        <f>'Setup 1'!J34</f>
        <v>0.65</v>
      </c>
      <c r="J16">
        <f t="shared" si="0"/>
        <v>2</v>
      </c>
      <c r="K16" s="51" t="str">
        <f t="shared" si="1"/>
        <v>$25,000</v>
      </c>
      <c r="L16" s="51" t="str">
        <f t="shared" si="2"/>
        <v>R1L3</v>
      </c>
      <c r="M16" s="88">
        <f>VLOOKUP(E16,xReserves!$J$21:$Q$33,$J16,FALSE)</f>
        <v>69744.35000000002</v>
      </c>
      <c r="N16" s="88">
        <f>VLOOKUP(F16,xReserves!$J$21:$Q$33,$J16,FALSE)</f>
        <v>69744.35000000002</v>
      </c>
      <c r="O16" s="88">
        <f>VLOOKUP(G16,xReserves!$J$21:$Q$33,$J16,FALSE)</f>
        <v>69744.35000000002</v>
      </c>
      <c r="P16" s="88">
        <f>VLOOKUP(H16,xReserves!$J$21:$Q$33,$J16,FALSE)</f>
        <v>69744.35000000002</v>
      </c>
      <c r="Q16" s="88">
        <f>VLOOKUP(I16,xReserves!$J$21:$Q$33,$J16,FALSE)</f>
        <v>69744.35000000002</v>
      </c>
      <c r="T16" s="4">
        <v>100000</v>
      </c>
      <c r="U16" s="4">
        <v>4</v>
      </c>
    </row>
    <row r="17" spans="3:21">
      <c r="C17" t="s">
        <v>26</v>
      </c>
      <c r="D17" s="51" t="str">
        <f>D16</f>
        <v>$25,000</v>
      </c>
      <c r="E17" s="86">
        <f>'Setup 1'!F35</f>
        <v>0.8</v>
      </c>
      <c r="F17" s="86">
        <f>'Setup 1'!G35</f>
        <v>0.4</v>
      </c>
      <c r="G17" s="86">
        <f>'Setup 1'!H35</f>
        <v>0.6</v>
      </c>
      <c r="H17" s="86">
        <f>'Setup 1'!I35</f>
        <v>0.59336</v>
      </c>
      <c r="I17" s="86">
        <f>'Setup 1'!J35</f>
        <v>0.6</v>
      </c>
      <c r="J17">
        <f t="shared" si="0"/>
        <v>2</v>
      </c>
      <c r="K17" s="51" t="str">
        <f t="shared" si="1"/>
        <v>$25,000</v>
      </c>
      <c r="L17" s="51" t="str">
        <f t="shared" si="2"/>
        <v>R1L4</v>
      </c>
      <c r="M17" s="88">
        <f>VLOOKUP(E17,xReserves!$J$21:$Q$33,$J17,FALSE)</f>
        <v>86520.200000000012</v>
      </c>
      <c r="N17" s="88">
        <f>VLOOKUP(F17,xReserves!$J$21:$Q$33,$J17,FALSE)</f>
        <v>51580.100000000006</v>
      </c>
      <c r="O17" s="88">
        <f>VLOOKUP(G17,xReserves!$J$21:$Q$33,$J17,FALSE)</f>
        <v>65529.100000000013</v>
      </c>
      <c r="P17" s="88">
        <f>VLOOKUP(H17,xReserves!$J$21:$Q$33,$J17,FALSE)</f>
        <v>65000.000000000007</v>
      </c>
      <c r="Q17" s="88">
        <f>VLOOKUP(I17,xReserves!$J$21:$Q$33,$J17,FALSE)</f>
        <v>65529.100000000013</v>
      </c>
      <c r="T17" s="4">
        <v>250000</v>
      </c>
      <c r="U17" s="4">
        <v>5</v>
      </c>
    </row>
    <row r="18" spans="3:21">
      <c r="C18" t="s">
        <v>27</v>
      </c>
      <c r="D18" s="51" t="str">
        <f>D17</f>
        <v>$25,000</v>
      </c>
      <c r="E18" s="86">
        <f>'Setup 1'!F36</f>
        <v>0.7</v>
      </c>
      <c r="F18" s="86">
        <f>'Setup 1'!G36</f>
        <v>0.75</v>
      </c>
      <c r="G18" s="86">
        <f>'Setup 1'!H36</f>
        <v>0.59336</v>
      </c>
      <c r="H18" s="86">
        <f>'Setup 1'!I36</f>
        <v>0.59336</v>
      </c>
      <c r="I18" s="86">
        <f>'Setup 1'!J36</f>
        <v>0.59336</v>
      </c>
      <c r="J18">
        <f t="shared" si="0"/>
        <v>2</v>
      </c>
      <c r="K18" s="51" t="str">
        <f t="shared" si="1"/>
        <v>$25,000</v>
      </c>
      <c r="L18" s="51" t="str">
        <f t="shared" si="2"/>
        <v>R1L5</v>
      </c>
      <c r="M18" s="88">
        <f>VLOOKUP(E18,xReserves!$J$21:$Q$33,$J18,FALSE)</f>
        <v>74480.250000000015</v>
      </c>
      <c r="N18" s="88">
        <f>VLOOKUP(F18,xReserves!$J$21:$Q$33,$J18,FALSE)</f>
        <v>79952.600000000006</v>
      </c>
      <c r="O18" s="88">
        <f>VLOOKUP(G18,xReserves!$J$21:$Q$33,$J18,FALSE)</f>
        <v>65000.000000000007</v>
      </c>
      <c r="P18" s="88">
        <f>VLOOKUP(H18,xReserves!$J$21:$Q$33,$J18,FALSE)</f>
        <v>65000.000000000007</v>
      </c>
      <c r="Q18" s="88">
        <f>VLOOKUP(I18,xReserves!$J$21:$Q$33,$J18,FALSE)</f>
        <v>65000.000000000007</v>
      </c>
      <c r="T18" s="4">
        <v>500000</v>
      </c>
      <c r="U18" s="4">
        <v>6</v>
      </c>
    </row>
    <row r="19" spans="3:21">
      <c r="C19" t="s">
        <v>28</v>
      </c>
      <c r="D19" s="51" t="str">
        <f>'Setup 2'!C13</f>
        <v>$100,000</v>
      </c>
      <c r="E19" s="86">
        <f t="shared" ref="E19:I22" si="3">E14</f>
        <v>0.59336</v>
      </c>
      <c r="F19" s="86">
        <f t="shared" si="3"/>
        <v>0.59336</v>
      </c>
      <c r="G19" s="86">
        <f t="shared" si="3"/>
        <v>0.59336</v>
      </c>
      <c r="H19" s="86">
        <f t="shared" si="3"/>
        <v>0.59336</v>
      </c>
      <c r="I19" s="86">
        <f t="shared" si="3"/>
        <v>0.59336</v>
      </c>
      <c r="J19">
        <f t="shared" si="0"/>
        <v>4</v>
      </c>
      <c r="K19" s="51" t="str">
        <f t="shared" si="1"/>
        <v>$100,000</v>
      </c>
      <c r="L19" s="51" t="str">
        <f t="shared" si="2"/>
        <v>R2L1</v>
      </c>
      <c r="M19" s="88">
        <f>VLOOKUP(E19,xReserves!$J$21:$Q$33,$J19,FALSE)</f>
        <v>100000</v>
      </c>
      <c r="N19" s="88">
        <f>VLOOKUP(F19,xReserves!$J$21:$Q$33,$J19,FALSE)</f>
        <v>100000</v>
      </c>
      <c r="O19" s="88">
        <f>VLOOKUP(G19,xReserves!$J$21:$Q$33,$J19,FALSE)</f>
        <v>100000</v>
      </c>
      <c r="P19" s="88">
        <f>VLOOKUP(H19,xReserves!$J$21:$Q$33,$J19,FALSE)</f>
        <v>100000</v>
      </c>
      <c r="Q19" s="88">
        <f>VLOOKUP(I19,xReserves!$J$21:$Q$33,$J19,FALSE)</f>
        <v>100000</v>
      </c>
      <c r="T19" s="4">
        <v>1000000</v>
      </c>
      <c r="U19" s="4">
        <v>7</v>
      </c>
    </row>
    <row r="20" spans="3:21">
      <c r="C20" t="s">
        <v>29</v>
      </c>
      <c r="D20" s="51" t="str">
        <f>D19</f>
        <v>$100,000</v>
      </c>
      <c r="E20" s="86">
        <f t="shared" si="3"/>
        <v>0.95</v>
      </c>
      <c r="F20" s="86">
        <f t="shared" si="3"/>
        <v>0.59336</v>
      </c>
      <c r="G20" s="86">
        <f t="shared" si="3"/>
        <v>0.59336</v>
      </c>
      <c r="H20" s="86">
        <f t="shared" si="3"/>
        <v>0.95</v>
      </c>
      <c r="I20" s="86">
        <f t="shared" si="3"/>
        <v>0.59336</v>
      </c>
      <c r="J20">
        <f t="shared" si="0"/>
        <v>4</v>
      </c>
      <c r="K20" s="51" t="str">
        <f t="shared" si="1"/>
        <v>$100,000</v>
      </c>
      <c r="L20" s="51" t="str">
        <f t="shared" si="2"/>
        <v>R2L2</v>
      </c>
      <c r="M20" s="88">
        <f>VLOOKUP(E20,xReserves!$J$21:$Q$33,$J20,FALSE)</f>
        <v>194532</v>
      </c>
      <c r="N20" s="88">
        <f>VLOOKUP(F20,xReserves!$J$21:$Q$33,$J20,FALSE)</f>
        <v>100000</v>
      </c>
      <c r="O20" s="88">
        <f>VLOOKUP(G20,xReserves!$J$21:$Q$33,$J20,FALSE)</f>
        <v>100000</v>
      </c>
      <c r="P20" s="88">
        <f>VLOOKUP(H20,xReserves!$J$21:$Q$33,$J20,FALSE)</f>
        <v>194532</v>
      </c>
      <c r="Q20" s="88">
        <f>VLOOKUP(I20,xReserves!$J$21:$Q$33,$J20,FALSE)</f>
        <v>100000</v>
      </c>
      <c r="T20" s="4">
        <v>0</v>
      </c>
      <c r="U20" s="4">
        <v>8</v>
      </c>
    </row>
    <row r="21" spans="3:21">
      <c r="C21" t="s">
        <v>30</v>
      </c>
      <c r="D21" s="51" t="str">
        <f t="shared" ref="D21:D33" si="4">D20</f>
        <v>$100,000</v>
      </c>
      <c r="E21" s="86">
        <f t="shared" si="3"/>
        <v>0.65</v>
      </c>
      <c r="F21" s="86">
        <f t="shared" si="3"/>
        <v>0.65</v>
      </c>
      <c r="G21" s="86">
        <f t="shared" si="3"/>
        <v>0.65</v>
      </c>
      <c r="H21" s="86">
        <f t="shared" si="3"/>
        <v>0.65</v>
      </c>
      <c r="I21" s="86">
        <f t="shared" si="3"/>
        <v>0.65</v>
      </c>
      <c r="J21">
        <f t="shared" si="0"/>
        <v>4</v>
      </c>
      <c r="K21" s="51" t="str">
        <f t="shared" si="1"/>
        <v>$100,000</v>
      </c>
      <c r="L21" s="51" t="str">
        <f t="shared" si="2"/>
        <v>R2L3</v>
      </c>
      <c r="M21" s="88">
        <f>VLOOKUP(E21,xReserves!$J$21:$Q$33,$J21,FALSE)</f>
        <v>107299.00000000001</v>
      </c>
      <c r="N21" s="88">
        <f>VLOOKUP(F21,xReserves!$J$21:$Q$33,$J21,FALSE)</f>
        <v>107299.00000000001</v>
      </c>
      <c r="O21" s="88">
        <f>VLOOKUP(G21,xReserves!$J$21:$Q$33,$J21,FALSE)</f>
        <v>107299.00000000001</v>
      </c>
      <c r="P21" s="88">
        <f>VLOOKUP(H21,xReserves!$J$21:$Q$33,$J21,FALSE)</f>
        <v>107299.00000000001</v>
      </c>
      <c r="Q21" s="88">
        <f>VLOOKUP(I21,xReserves!$J$21:$Q$33,$J21,FALSE)</f>
        <v>107299.00000000001</v>
      </c>
      <c r="T21" s="4"/>
    </row>
    <row r="22" spans="3:21">
      <c r="C22" t="s">
        <v>31</v>
      </c>
      <c r="D22" s="51" t="str">
        <f t="shared" si="4"/>
        <v>$100,000</v>
      </c>
      <c r="E22" s="86">
        <f t="shared" si="3"/>
        <v>0.8</v>
      </c>
      <c r="F22" s="86">
        <f t="shared" si="3"/>
        <v>0.4</v>
      </c>
      <c r="G22" s="86">
        <f t="shared" si="3"/>
        <v>0.6</v>
      </c>
      <c r="H22" s="86">
        <f t="shared" si="3"/>
        <v>0.59336</v>
      </c>
      <c r="I22" s="86">
        <f t="shared" si="3"/>
        <v>0.6</v>
      </c>
      <c r="J22">
        <f t="shared" si="0"/>
        <v>4</v>
      </c>
      <c r="K22" s="51" t="str">
        <f t="shared" si="1"/>
        <v>$100,000</v>
      </c>
      <c r="L22" s="51" t="str">
        <f t="shared" si="2"/>
        <v>R2L4</v>
      </c>
      <c r="M22" s="88">
        <f>VLOOKUP(E22,xReserves!$J$21:$Q$33,$J22,FALSE)</f>
        <v>133108</v>
      </c>
      <c r="N22" s="88">
        <f>VLOOKUP(F22,xReserves!$J$21:$Q$33,$J22,FALSE)</f>
        <v>79354</v>
      </c>
      <c r="O22" s="88">
        <f>VLOOKUP(G22,xReserves!$J$21:$Q$33,$J22,FALSE)</f>
        <v>100814</v>
      </c>
      <c r="P22" s="88">
        <f>VLOOKUP(H22,xReserves!$J$21:$Q$33,$J22,FALSE)</f>
        <v>100000</v>
      </c>
      <c r="Q22" s="88">
        <f>VLOOKUP(I22,xReserves!$J$21:$Q$33,$J22,FALSE)</f>
        <v>100814</v>
      </c>
    </row>
    <row r="23" spans="3:21">
      <c r="C23" t="s">
        <v>6</v>
      </c>
      <c r="D23" s="51" t="str">
        <f t="shared" si="4"/>
        <v>$100,000</v>
      </c>
      <c r="E23" s="86">
        <f t="shared" ref="E23:I24" si="5">E18</f>
        <v>0.7</v>
      </c>
      <c r="F23" s="86">
        <f t="shared" si="5"/>
        <v>0.75</v>
      </c>
      <c r="G23" s="86">
        <f t="shared" si="5"/>
        <v>0.59336</v>
      </c>
      <c r="H23" s="86">
        <f t="shared" si="5"/>
        <v>0.59336</v>
      </c>
      <c r="I23" s="86">
        <f t="shared" si="5"/>
        <v>0.59336</v>
      </c>
      <c r="J23">
        <f t="shared" si="0"/>
        <v>4</v>
      </c>
      <c r="K23" s="51" t="str">
        <f t="shared" si="1"/>
        <v>$100,000</v>
      </c>
      <c r="L23" s="51" t="str">
        <f t="shared" si="2"/>
        <v>R2L5</v>
      </c>
      <c r="M23" s="88">
        <f>VLOOKUP(E23,xReserves!$J$21:$Q$33,$J23,FALSE)</f>
        <v>114585</v>
      </c>
      <c r="N23" s="88">
        <f>VLOOKUP(F23,xReserves!$J$21:$Q$33,$J23,FALSE)</f>
        <v>123004</v>
      </c>
      <c r="O23" s="88">
        <f>VLOOKUP(G23,xReserves!$J$21:$Q$33,$J23,FALSE)</f>
        <v>100000</v>
      </c>
      <c r="P23" s="88">
        <f>VLOOKUP(H23,xReserves!$J$21:$Q$33,$J23,FALSE)</f>
        <v>100000</v>
      </c>
      <c r="Q23" s="88">
        <f>VLOOKUP(I23,xReserves!$J$21:$Q$33,$J23,FALSE)</f>
        <v>100000</v>
      </c>
    </row>
    <row r="24" spans="3:21">
      <c r="C24" t="s">
        <v>32</v>
      </c>
      <c r="D24" s="51" t="str">
        <f>'Setup 2'!C14</f>
        <v>$250,000</v>
      </c>
      <c r="E24" s="86">
        <f t="shared" ref="E24:H33" si="6">E19</f>
        <v>0.59336</v>
      </c>
      <c r="F24" s="86">
        <f t="shared" si="6"/>
        <v>0.59336</v>
      </c>
      <c r="G24" s="86">
        <f t="shared" si="6"/>
        <v>0.59336</v>
      </c>
      <c r="H24" s="86">
        <f t="shared" si="6"/>
        <v>0.59336</v>
      </c>
      <c r="I24" s="86">
        <f t="shared" si="5"/>
        <v>0.59336</v>
      </c>
      <c r="J24">
        <f t="shared" si="0"/>
        <v>5</v>
      </c>
      <c r="K24" s="51" t="str">
        <f t="shared" si="1"/>
        <v>$250,000</v>
      </c>
      <c r="L24" s="51" t="str">
        <f t="shared" si="2"/>
        <v>R3L1</v>
      </c>
      <c r="M24" s="88">
        <f>VLOOKUP(E24,xReserves!$J$21:$Q$33,$J24,FALSE)</f>
        <v>140000</v>
      </c>
      <c r="N24" s="88">
        <f>VLOOKUP(F24,xReserves!$J$21:$Q$33,$J24,FALSE)</f>
        <v>140000</v>
      </c>
      <c r="O24" s="88">
        <f>VLOOKUP(G24,xReserves!$J$21:$Q$33,$J24,FALSE)</f>
        <v>140000</v>
      </c>
      <c r="P24" s="88">
        <f>VLOOKUP(H24,xReserves!$J$21:$Q$33,$J24,FALSE)</f>
        <v>140000</v>
      </c>
      <c r="Q24" s="88">
        <f>VLOOKUP(I24,xReserves!$J$21:$Q$33,$J24,FALSE)</f>
        <v>140000</v>
      </c>
    </row>
    <row r="25" spans="3:21">
      <c r="C25" t="s">
        <v>33</v>
      </c>
      <c r="D25" s="51" t="str">
        <f t="shared" si="4"/>
        <v>$250,000</v>
      </c>
      <c r="E25" s="86">
        <f t="shared" si="6"/>
        <v>0.95</v>
      </c>
      <c r="F25" s="86">
        <f t="shared" si="6"/>
        <v>0.59336</v>
      </c>
      <c r="G25" s="86">
        <f t="shared" si="6"/>
        <v>0.59336</v>
      </c>
      <c r="H25" s="86">
        <f t="shared" si="6"/>
        <v>0.95</v>
      </c>
      <c r="I25" s="86">
        <f t="shared" ref="I25:I33" si="7">I20</f>
        <v>0.59336</v>
      </c>
      <c r="J25">
        <f t="shared" si="0"/>
        <v>5</v>
      </c>
      <c r="K25" s="51" t="str">
        <f t="shared" si="1"/>
        <v>$250,000</v>
      </c>
      <c r="L25" s="51" t="str">
        <f t="shared" si="2"/>
        <v>R3L2</v>
      </c>
      <c r="M25" s="88">
        <f>VLOOKUP(E25,xReserves!$J$21:$Q$33,$J25,FALSE)</f>
        <v>272344.8</v>
      </c>
      <c r="N25" s="88">
        <f>VLOOKUP(F25,xReserves!$J$21:$Q$33,$J25,FALSE)</f>
        <v>140000</v>
      </c>
      <c r="O25" s="88">
        <f>VLOOKUP(G25,xReserves!$J$21:$Q$33,$J25,FALSE)</f>
        <v>140000</v>
      </c>
      <c r="P25" s="88">
        <f>VLOOKUP(H25,xReserves!$J$21:$Q$33,$J25,FALSE)</f>
        <v>272344.8</v>
      </c>
      <c r="Q25" s="88">
        <f>VLOOKUP(I25,xReserves!$J$21:$Q$33,$J25,FALSE)</f>
        <v>140000</v>
      </c>
    </row>
    <row r="26" spans="3:21">
      <c r="C26" t="s">
        <v>34</v>
      </c>
      <c r="D26" s="51" t="str">
        <f t="shared" si="4"/>
        <v>$250,000</v>
      </c>
      <c r="E26" s="86">
        <f t="shared" si="6"/>
        <v>0.65</v>
      </c>
      <c r="F26" s="86">
        <f t="shared" si="6"/>
        <v>0.65</v>
      </c>
      <c r="G26" s="86">
        <f t="shared" si="6"/>
        <v>0.65</v>
      </c>
      <c r="H26" s="86">
        <f t="shared" si="6"/>
        <v>0.65</v>
      </c>
      <c r="I26" s="86">
        <f t="shared" si="7"/>
        <v>0.65</v>
      </c>
      <c r="J26">
        <f t="shared" si="0"/>
        <v>5</v>
      </c>
      <c r="K26" s="51" t="str">
        <f t="shared" si="1"/>
        <v>$250,000</v>
      </c>
      <c r="L26" s="51" t="str">
        <f t="shared" si="2"/>
        <v>R3L3</v>
      </c>
      <c r="M26" s="88">
        <f>VLOOKUP(E26,xReserves!$J$21:$Q$33,$J26,FALSE)</f>
        <v>150218.6</v>
      </c>
      <c r="N26" s="88">
        <f>VLOOKUP(F26,xReserves!$J$21:$Q$33,$J26,FALSE)</f>
        <v>150218.6</v>
      </c>
      <c r="O26" s="88">
        <f>VLOOKUP(G26,xReserves!$J$21:$Q$33,$J26,FALSE)</f>
        <v>150218.6</v>
      </c>
      <c r="P26" s="88">
        <f>VLOOKUP(H26,xReserves!$J$21:$Q$33,$J26,FALSE)</f>
        <v>150218.6</v>
      </c>
      <c r="Q26" s="88">
        <f>VLOOKUP(I26,xReserves!$J$21:$Q$33,$J26,FALSE)</f>
        <v>150218.6</v>
      </c>
    </row>
    <row r="27" spans="3:21">
      <c r="C27" t="s">
        <v>35</v>
      </c>
      <c r="D27" s="51" t="str">
        <f t="shared" si="4"/>
        <v>$250,000</v>
      </c>
      <c r="E27" s="86">
        <f t="shared" si="6"/>
        <v>0.8</v>
      </c>
      <c r="F27" s="86">
        <f t="shared" si="6"/>
        <v>0.4</v>
      </c>
      <c r="G27" s="86">
        <f t="shared" si="6"/>
        <v>0.6</v>
      </c>
      <c r="H27" s="86">
        <f t="shared" si="6"/>
        <v>0.59336</v>
      </c>
      <c r="I27" s="86">
        <f t="shared" si="7"/>
        <v>0.6</v>
      </c>
      <c r="J27">
        <f t="shared" si="0"/>
        <v>5</v>
      </c>
      <c r="K27" s="51" t="str">
        <f t="shared" si="1"/>
        <v>$250,000</v>
      </c>
      <c r="L27" s="51" t="str">
        <f t="shared" si="2"/>
        <v>R3L4</v>
      </c>
      <c r="M27" s="88">
        <f>VLOOKUP(E27,xReserves!$J$21:$Q$33,$J27,FALSE)</f>
        <v>186351.2</v>
      </c>
      <c r="N27" s="88">
        <f>VLOOKUP(F27,xReserves!$J$21:$Q$33,$J27,FALSE)</f>
        <v>111095.6</v>
      </c>
      <c r="O27" s="88">
        <f>VLOOKUP(G27,xReserves!$J$21:$Q$33,$J27,FALSE)</f>
        <v>141139.6</v>
      </c>
      <c r="P27" s="88">
        <f>VLOOKUP(H27,xReserves!$J$21:$Q$33,$J27,FALSE)</f>
        <v>140000</v>
      </c>
      <c r="Q27" s="88">
        <f>VLOOKUP(I27,xReserves!$J$21:$Q$33,$J27,FALSE)</f>
        <v>141139.6</v>
      </c>
    </row>
    <row r="28" spans="3:21">
      <c r="C28" t="s">
        <v>7</v>
      </c>
      <c r="D28" s="51" t="str">
        <f t="shared" si="4"/>
        <v>$250,000</v>
      </c>
      <c r="E28" s="86">
        <f t="shared" si="6"/>
        <v>0.7</v>
      </c>
      <c r="F28" s="86">
        <f t="shared" si="6"/>
        <v>0.75</v>
      </c>
      <c r="G28" s="86">
        <f t="shared" si="6"/>
        <v>0.59336</v>
      </c>
      <c r="H28" s="86">
        <f t="shared" si="6"/>
        <v>0.59336</v>
      </c>
      <c r="I28" s="86">
        <f t="shared" si="7"/>
        <v>0.59336</v>
      </c>
      <c r="J28">
        <f t="shared" si="0"/>
        <v>5</v>
      </c>
      <c r="K28" s="51" t="str">
        <f t="shared" si="1"/>
        <v>$250,000</v>
      </c>
      <c r="L28" s="51" t="str">
        <f t="shared" si="2"/>
        <v>R3L5</v>
      </c>
      <c r="M28" s="88">
        <f>VLOOKUP(E28,xReserves!$J$21:$Q$33,$J28,FALSE)</f>
        <v>160419</v>
      </c>
      <c r="N28" s="88">
        <f>VLOOKUP(F28,xReserves!$J$21:$Q$33,$J28,FALSE)</f>
        <v>172205.6</v>
      </c>
      <c r="O28" s="88">
        <f>VLOOKUP(G28,xReserves!$J$21:$Q$33,$J28,FALSE)</f>
        <v>140000</v>
      </c>
      <c r="P28" s="88">
        <f>VLOOKUP(H28,xReserves!$J$21:$Q$33,$J28,FALSE)</f>
        <v>140000</v>
      </c>
      <c r="Q28" s="88">
        <f>VLOOKUP(I28,xReserves!$J$21:$Q$33,$J28,FALSE)</f>
        <v>140000</v>
      </c>
    </row>
    <row r="29" spans="3:21">
      <c r="C29" t="s">
        <v>36</v>
      </c>
      <c r="D29" s="51" t="str">
        <f>'Setup 2'!C15</f>
        <v>$500,000</v>
      </c>
      <c r="E29" s="86">
        <f t="shared" si="6"/>
        <v>0.59336</v>
      </c>
      <c r="F29" s="86">
        <f t="shared" si="6"/>
        <v>0.59336</v>
      </c>
      <c r="G29" s="86">
        <f t="shared" si="6"/>
        <v>0.59336</v>
      </c>
      <c r="H29" s="86">
        <f t="shared" si="6"/>
        <v>0.59336</v>
      </c>
      <c r="I29" s="86">
        <f t="shared" si="7"/>
        <v>0.59336</v>
      </c>
      <c r="J29">
        <f t="shared" si="0"/>
        <v>6</v>
      </c>
      <c r="K29" s="51" t="str">
        <f t="shared" si="1"/>
        <v>$500,000</v>
      </c>
      <c r="L29" s="51" t="str">
        <f t="shared" si="2"/>
        <v>R4L1</v>
      </c>
      <c r="M29" s="88">
        <f>VLOOKUP(E29,xReserves!$J$21:$Q$33,$J29,FALSE)</f>
        <v>175000</v>
      </c>
      <c r="N29" s="88">
        <f>VLOOKUP(F29,xReserves!$J$21:$Q$33,$J29,FALSE)</f>
        <v>175000</v>
      </c>
      <c r="O29" s="88">
        <f>VLOOKUP(G29,xReserves!$J$21:$Q$33,$J29,FALSE)</f>
        <v>175000</v>
      </c>
      <c r="P29" s="88">
        <f>VLOOKUP(H29,xReserves!$J$21:$Q$33,$J29,FALSE)</f>
        <v>175000</v>
      </c>
      <c r="Q29" s="88">
        <f>VLOOKUP(I29,xReserves!$J$21:$Q$33,$J29,FALSE)</f>
        <v>175000</v>
      </c>
    </row>
    <row r="30" spans="3:21">
      <c r="C30" t="s">
        <v>3</v>
      </c>
      <c r="D30" s="51" t="str">
        <f t="shared" si="4"/>
        <v>$500,000</v>
      </c>
      <c r="E30" s="86">
        <f t="shared" si="6"/>
        <v>0.95</v>
      </c>
      <c r="F30" s="86">
        <f t="shared" si="6"/>
        <v>0.59336</v>
      </c>
      <c r="G30" s="86">
        <f t="shared" si="6"/>
        <v>0.59336</v>
      </c>
      <c r="H30" s="86">
        <f t="shared" si="6"/>
        <v>0.95</v>
      </c>
      <c r="I30" s="86">
        <f t="shared" si="7"/>
        <v>0.59336</v>
      </c>
      <c r="J30">
        <f t="shared" si="0"/>
        <v>6</v>
      </c>
      <c r="K30" s="51" t="str">
        <f t="shared" si="1"/>
        <v>$500,000</v>
      </c>
      <c r="L30" s="51" t="str">
        <f t="shared" si="2"/>
        <v>R4L2</v>
      </c>
      <c r="M30" s="88">
        <f>VLOOKUP(E30,xReserves!$J$21:$Q$33,$J30,FALSE)</f>
        <v>340431</v>
      </c>
      <c r="N30" s="88">
        <f>VLOOKUP(F30,xReserves!$J$21:$Q$33,$J30,FALSE)</f>
        <v>175000</v>
      </c>
      <c r="O30" s="88">
        <f>VLOOKUP(G30,xReserves!$J$21:$Q$33,$J30,FALSE)</f>
        <v>175000</v>
      </c>
      <c r="P30" s="88">
        <f>VLOOKUP(H30,xReserves!$J$21:$Q$33,$J30,FALSE)</f>
        <v>340431</v>
      </c>
      <c r="Q30" s="88">
        <f>VLOOKUP(I30,xReserves!$J$21:$Q$33,$J30,FALSE)</f>
        <v>175000</v>
      </c>
    </row>
    <row r="31" spans="3:21">
      <c r="C31" t="s">
        <v>4</v>
      </c>
      <c r="D31" s="51" t="str">
        <f t="shared" si="4"/>
        <v>$500,000</v>
      </c>
      <c r="E31" s="86">
        <f t="shared" si="6"/>
        <v>0.65</v>
      </c>
      <c r="F31" s="86">
        <f t="shared" si="6"/>
        <v>0.65</v>
      </c>
      <c r="G31" s="86">
        <f t="shared" si="6"/>
        <v>0.65</v>
      </c>
      <c r="H31" s="86">
        <f t="shared" si="6"/>
        <v>0.65</v>
      </c>
      <c r="I31" s="86">
        <f t="shared" si="7"/>
        <v>0.65</v>
      </c>
      <c r="J31">
        <f t="shared" si="0"/>
        <v>6</v>
      </c>
      <c r="K31" s="51" t="str">
        <f t="shared" si="1"/>
        <v>$500,000</v>
      </c>
      <c r="L31" s="51" t="str">
        <f t="shared" si="2"/>
        <v>R4L3</v>
      </c>
      <c r="M31" s="88">
        <f>VLOOKUP(E31,xReserves!$J$21:$Q$33,$J31,FALSE)</f>
        <v>187773.25000000003</v>
      </c>
      <c r="N31" s="88">
        <f>VLOOKUP(F31,xReserves!$J$21:$Q$33,$J31,FALSE)</f>
        <v>187773.25000000003</v>
      </c>
      <c r="O31" s="88">
        <f>VLOOKUP(G31,xReserves!$J$21:$Q$33,$J31,FALSE)</f>
        <v>187773.25000000003</v>
      </c>
      <c r="P31" s="88">
        <f>VLOOKUP(H31,xReserves!$J$21:$Q$33,$J31,FALSE)</f>
        <v>187773.25000000003</v>
      </c>
      <c r="Q31" s="88">
        <f>VLOOKUP(I31,xReserves!$J$21:$Q$33,$J31,FALSE)</f>
        <v>187773.25000000003</v>
      </c>
    </row>
    <row r="32" spans="3:21">
      <c r="C32" t="s">
        <v>5</v>
      </c>
      <c r="D32" s="51" t="str">
        <f t="shared" si="4"/>
        <v>$500,000</v>
      </c>
      <c r="E32" s="86">
        <f t="shared" si="6"/>
        <v>0.8</v>
      </c>
      <c r="F32" s="86">
        <f t="shared" si="6"/>
        <v>0.4</v>
      </c>
      <c r="G32" s="86">
        <f t="shared" si="6"/>
        <v>0.6</v>
      </c>
      <c r="H32" s="86">
        <f t="shared" si="6"/>
        <v>0.59336</v>
      </c>
      <c r="I32" s="86">
        <f t="shared" si="7"/>
        <v>0.6</v>
      </c>
      <c r="J32">
        <f t="shared" si="0"/>
        <v>6</v>
      </c>
      <c r="K32" s="51" t="str">
        <f t="shared" si="1"/>
        <v>$500,000</v>
      </c>
      <c r="L32" s="51" t="str">
        <f t="shared" si="2"/>
        <v>R4L4</v>
      </c>
      <c r="M32" s="88">
        <f>VLOOKUP(E32,xReserves!$J$21:$Q$33,$J32,FALSE)</f>
        <v>232939</v>
      </c>
      <c r="N32" s="88">
        <f>VLOOKUP(F32,xReserves!$J$21:$Q$33,$J32,FALSE)</f>
        <v>138869.5</v>
      </c>
      <c r="O32" s="88">
        <f>VLOOKUP(G32,xReserves!$J$21:$Q$33,$J32,FALSE)</f>
        <v>176424.5</v>
      </c>
      <c r="P32" s="88">
        <f>VLOOKUP(H32,xReserves!$J$21:$Q$33,$J32,FALSE)</f>
        <v>175000</v>
      </c>
      <c r="Q32" s="88">
        <f>VLOOKUP(I32,xReserves!$J$21:$Q$33,$J32,FALSE)</f>
        <v>176424.5</v>
      </c>
    </row>
    <row r="33" spans="2:17">
      <c r="C33" t="s">
        <v>8</v>
      </c>
      <c r="D33" s="51" t="str">
        <f t="shared" si="4"/>
        <v>$500,000</v>
      </c>
      <c r="E33" s="86">
        <f t="shared" si="6"/>
        <v>0.7</v>
      </c>
      <c r="F33" s="86">
        <f t="shared" si="6"/>
        <v>0.75</v>
      </c>
      <c r="G33" s="86">
        <f t="shared" si="6"/>
        <v>0.59336</v>
      </c>
      <c r="H33" s="86">
        <f t="shared" si="6"/>
        <v>0.59336</v>
      </c>
      <c r="I33" s="86">
        <f t="shared" si="7"/>
        <v>0.59336</v>
      </c>
      <c r="J33">
        <f t="shared" si="0"/>
        <v>6</v>
      </c>
      <c r="K33" s="51" t="str">
        <f t="shared" si="1"/>
        <v>$500,000</v>
      </c>
      <c r="L33" s="51" t="str">
        <f t="shared" si="2"/>
        <v>R4L5</v>
      </c>
      <c r="M33" s="88">
        <f>VLOOKUP(E33,xReserves!$J$21:$Q$33,$J33,FALSE)</f>
        <v>200523.75</v>
      </c>
      <c r="N33" s="88">
        <f>VLOOKUP(F33,xReserves!$J$21:$Q$33,$J33,FALSE)</f>
        <v>215257</v>
      </c>
      <c r="O33" s="88">
        <f>VLOOKUP(G33,xReserves!$J$21:$Q$33,$J33,FALSE)</f>
        <v>175000</v>
      </c>
      <c r="P33" s="88">
        <f>VLOOKUP(H33,xReserves!$J$21:$Q$33,$J33,FALSE)</f>
        <v>175000</v>
      </c>
      <c r="Q33" s="88">
        <f>VLOOKUP(I33,xReserves!$J$21:$Q$33,$J33,FALSE)</f>
        <v>175000</v>
      </c>
    </row>
    <row r="36" spans="2:17">
      <c r="B36" t="s">
        <v>9</v>
      </c>
    </row>
    <row r="39" spans="2:17" ht="16.5">
      <c r="C39" t="s">
        <v>139</v>
      </c>
    </row>
    <row r="40" spans="2:17" ht="16.5">
      <c r="C40" t="s">
        <v>140</v>
      </c>
    </row>
    <row r="41" spans="2:17" ht="16.5">
      <c r="C41" t="s">
        <v>141</v>
      </c>
    </row>
    <row r="42" spans="2:17" ht="16.5">
      <c r="C42" t="s">
        <v>142</v>
      </c>
    </row>
    <row r="43" spans="2:17" ht="16.5">
      <c r="C43" t="s">
        <v>143</v>
      </c>
    </row>
    <row r="46" spans="2:17">
      <c r="B46" t="s">
        <v>10</v>
      </c>
    </row>
    <row r="49" spans="3:3" ht="16.5">
      <c r="C49" t="s">
        <v>144</v>
      </c>
    </row>
    <row r="50" spans="3:3" ht="16.5">
      <c r="C50" t="s">
        <v>145</v>
      </c>
    </row>
    <row r="51" spans="3:3" ht="16.5">
      <c r="C51" t="s">
        <v>146</v>
      </c>
    </row>
    <row r="52" spans="3:3" ht="16.5">
      <c r="C52" t="s">
        <v>147</v>
      </c>
    </row>
    <row r="53" spans="3:3" ht="16.5">
      <c r="C53" t="s">
        <v>148</v>
      </c>
    </row>
  </sheetData>
  <phoneticPr fontId="26" type="noConversion"/>
  <pageMargins left="0.7" right="0.7" top="0.75" bottom="0.75" header="0.3" footer="0.3"/>
  <pageSetup orientation="portrait" horizontalDpi="4294967292" verticalDpi="4294967292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Z142"/>
  <sheetViews>
    <sheetView topLeftCell="C17" workbookViewId="0">
      <selection activeCell="Q26" sqref="Q26"/>
    </sheetView>
  </sheetViews>
  <sheetFormatPr defaultColWidth="8.81640625" defaultRowHeight="14.5"/>
  <cols>
    <col min="2" max="2" width="2.08984375" customWidth="1"/>
    <col min="3" max="3" width="2" customWidth="1"/>
    <col min="4" max="4" width="6" customWidth="1"/>
    <col min="5" max="5" width="7" customWidth="1"/>
    <col min="6" max="19" width="12.81640625" customWidth="1"/>
  </cols>
  <sheetData>
    <row r="1" spans="2:17" ht="15" customHeight="1"/>
    <row r="2" spans="2:17" ht="15" customHeight="1">
      <c r="B2" s="77" t="s">
        <v>243</v>
      </c>
    </row>
    <row r="3" spans="2:17" ht="15" customHeight="1"/>
    <row r="4" spans="2:17" ht="15" customHeight="1">
      <c r="B4" t="s">
        <v>244</v>
      </c>
    </row>
    <row r="5" spans="2:17" ht="15" customHeight="1"/>
    <row r="6" spans="2:17" ht="15" customHeight="1">
      <c r="N6" s="9" t="s">
        <v>252</v>
      </c>
    </row>
    <row r="7" spans="2:17" ht="15" customHeight="1">
      <c r="C7" t="s">
        <v>307</v>
      </c>
      <c r="I7" s="79">
        <f>Historical!AD33</f>
        <v>250000</v>
      </c>
      <c r="K7" s="80">
        <v>25000</v>
      </c>
      <c r="L7" s="80">
        <v>50000</v>
      </c>
      <c r="M7" s="80">
        <v>100000</v>
      </c>
      <c r="N7" s="80">
        <v>250000</v>
      </c>
      <c r="O7" s="80">
        <v>500000</v>
      </c>
      <c r="P7" s="80">
        <v>1000000</v>
      </c>
      <c r="Q7" s="81" t="s">
        <v>251</v>
      </c>
    </row>
    <row r="8" spans="2:17" ht="15" customHeight="1">
      <c r="C8" t="s">
        <v>253</v>
      </c>
      <c r="I8" s="126">
        <f>IF(I7=K7,K8,IF(I7=L7,L8,IF(I7=M7,M8,IF(I7=N7,N8,IF(I7=O7,O8,IF(I7=P7,P8,Q8))))))</f>
        <v>1.4</v>
      </c>
      <c r="J8" s="127"/>
      <c r="K8" s="126">
        <v>0.65</v>
      </c>
      <c r="L8" s="126">
        <v>0.8</v>
      </c>
      <c r="M8" s="126">
        <v>1</v>
      </c>
      <c r="N8" s="126">
        <v>1.4</v>
      </c>
      <c r="O8" s="126">
        <v>1.75</v>
      </c>
      <c r="P8" s="126">
        <v>2.2000000000000002</v>
      </c>
      <c r="Q8" s="126">
        <v>3</v>
      </c>
    </row>
    <row r="9" spans="2:17" ht="15" customHeight="1">
      <c r="C9" t="s">
        <v>225</v>
      </c>
      <c r="I9" s="125">
        <f>Historical!AD34</f>
        <v>140000</v>
      </c>
      <c r="J9" s="108"/>
      <c r="K9" s="125">
        <f t="shared" ref="K9:Q9" si="0">$I$9*(K8/$I$8)</f>
        <v>65000.000000000007</v>
      </c>
      <c r="L9" s="125">
        <f t="shared" si="0"/>
        <v>80000.000000000015</v>
      </c>
      <c r="M9" s="125">
        <f t="shared" si="0"/>
        <v>100000</v>
      </c>
      <c r="N9" s="123">
        <f t="shared" si="0"/>
        <v>140000</v>
      </c>
      <c r="O9" s="125">
        <f t="shared" si="0"/>
        <v>175000</v>
      </c>
      <c r="P9" s="125">
        <f t="shared" si="0"/>
        <v>220000.00000000003</v>
      </c>
      <c r="Q9" s="125">
        <f t="shared" si="0"/>
        <v>300000</v>
      </c>
    </row>
    <row r="10" spans="2:17" ht="15" customHeight="1">
      <c r="I10" s="74"/>
    </row>
    <row r="11" spans="2:17" ht="15" customHeight="1"/>
    <row r="12" spans="2:17" ht="15" customHeight="1">
      <c r="B12" t="s">
        <v>245</v>
      </c>
    </row>
    <row r="13" spans="2:17" ht="15" customHeight="1"/>
    <row r="14" spans="2:17" ht="15" customHeight="1">
      <c r="C14" t="s">
        <v>246</v>
      </c>
      <c r="I14" s="123">
        <f>I9</f>
        <v>140000</v>
      </c>
    </row>
    <row r="15" spans="2:17" ht="15" customHeight="1">
      <c r="C15" t="s">
        <v>224</v>
      </c>
      <c r="I15" s="123">
        <f>I14*0.5</f>
        <v>70000</v>
      </c>
    </row>
    <row r="16" spans="2:17" ht="15" customHeight="1"/>
    <row r="17" spans="1:17" ht="15" customHeight="1">
      <c r="C17" t="s">
        <v>250</v>
      </c>
    </row>
    <row r="18" spans="1:17" ht="15" customHeight="1">
      <c r="N18" s="9" t="s">
        <v>252</v>
      </c>
      <c r="Q18" s="90" t="s">
        <v>255</v>
      </c>
    </row>
    <row r="19" spans="1:17" ht="15" customHeight="1">
      <c r="I19" s="78">
        <f>I7</f>
        <v>250000</v>
      </c>
      <c r="K19" s="82">
        <f t="shared" ref="K19:P19" si="1">K7</f>
        <v>25000</v>
      </c>
      <c r="L19" s="82">
        <f t="shared" si="1"/>
        <v>50000</v>
      </c>
      <c r="M19" s="82">
        <f t="shared" si="1"/>
        <v>100000</v>
      </c>
      <c r="N19" s="82">
        <f t="shared" si="1"/>
        <v>250000</v>
      </c>
      <c r="O19" s="82">
        <f t="shared" si="1"/>
        <v>500000</v>
      </c>
      <c r="P19" s="82">
        <f t="shared" si="1"/>
        <v>1000000</v>
      </c>
      <c r="Q19" s="82">
        <v>0</v>
      </c>
    </row>
    <row r="20" spans="1:17" ht="15" customHeight="1">
      <c r="D20" s="9" t="s">
        <v>247</v>
      </c>
      <c r="E20" s="9" t="s">
        <v>248</v>
      </c>
      <c r="I20" s="9" t="s">
        <v>249</v>
      </c>
      <c r="J20" s="9" t="s">
        <v>247</v>
      </c>
      <c r="K20" s="9" t="s">
        <v>249</v>
      </c>
      <c r="L20" s="9" t="s">
        <v>249</v>
      </c>
      <c r="M20" s="9" t="s">
        <v>249</v>
      </c>
      <c r="N20" s="9" t="s">
        <v>249</v>
      </c>
      <c r="O20" s="9" t="s">
        <v>249</v>
      </c>
      <c r="P20" s="9" t="s">
        <v>249</v>
      </c>
      <c r="Q20" s="9" t="s">
        <v>249</v>
      </c>
    </row>
    <row r="21" spans="1:17" ht="15" customHeight="1">
      <c r="D21" s="3">
        <v>0.25</v>
      </c>
      <c r="E21" s="3">
        <v>0.65039000000000002</v>
      </c>
      <c r="I21" s="124">
        <f>E21*$I$14</f>
        <v>91054.6</v>
      </c>
      <c r="J21" s="87">
        <v>0.25</v>
      </c>
      <c r="K21" s="117">
        <f t="shared" ref="K21:Q21" si="2">K$9*$E21</f>
        <v>42275.350000000006</v>
      </c>
      <c r="L21" s="117">
        <f t="shared" si="2"/>
        <v>52031.200000000012</v>
      </c>
      <c r="M21" s="117">
        <f t="shared" si="2"/>
        <v>65039</v>
      </c>
      <c r="N21" s="76">
        <f t="shared" si="2"/>
        <v>91054.6</v>
      </c>
      <c r="O21" s="76">
        <f t="shared" si="2"/>
        <v>113818.25</v>
      </c>
      <c r="P21" s="76">
        <f t="shared" si="2"/>
        <v>143085.80000000002</v>
      </c>
      <c r="Q21" s="117">
        <f t="shared" si="2"/>
        <v>195117</v>
      </c>
    </row>
    <row r="22" spans="1:17" ht="15" customHeight="1">
      <c r="D22" s="3">
        <v>0.4</v>
      </c>
      <c r="E22" s="3">
        <v>0.79354000000000002</v>
      </c>
      <c r="I22" s="124">
        <f>E22*$I$14</f>
        <v>111095.6</v>
      </c>
      <c r="J22" s="87">
        <v>0.4</v>
      </c>
      <c r="K22" s="76">
        <f t="shared" ref="K22:Q33" si="3">K$9*$E22</f>
        <v>51580.100000000006</v>
      </c>
      <c r="L22" s="76">
        <f t="shared" si="3"/>
        <v>63483.200000000012</v>
      </c>
      <c r="M22" s="76">
        <f t="shared" si="3"/>
        <v>79354</v>
      </c>
      <c r="N22" s="76">
        <f t="shared" si="3"/>
        <v>111095.6</v>
      </c>
      <c r="O22" s="76">
        <f t="shared" si="3"/>
        <v>138869.5</v>
      </c>
      <c r="P22" s="76">
        <f t="shared" si="3"/>
        <v>174578.80000000002</v>
      </c>
      <c r="Q22" s="76">
        <f t="shared" si="3"/>
        <v>238062</v>
      </c>
    </row>
    <row r="23" spans="1:17" ht="15" customHeight="1">
      <c r="D23" s="3">
        <v>0.5</v>
      </c>
      <c r="E23" s="3">
        <v>0.89442999999999995</v>
      </c>
      <c r="I23" s="124">
        <f>E23*$I$14</f>
        <v>125220.2</v>
      </c>
      <c r="J23" s="87">
        <v>0.5</v>
      </c>
      <c r="K23" s="76">
        <f t="shared" si="3"/>
        <v>58137.950000000004</v>
      </c>
      <c r="L23" s="76">
        <f t="shared" si="3"/>
        <v>71554.400000000009</v>
      </c>
      <c r="M23" s="76">
        <f t="shared" si="3"/>
        <v>89443</v>
      </c>
      <c r="N23" s="76">
        <f t="shared" si="3"/>
        <v>125220.2</v>
      </c>
      <c r="O23" s="76">
        <f t="shared" si="3"/>
        <v>156525.25</v>
      </c>
      <c r="P23" s="76">
        <f t="shared" si="3"/>
        <v>196774.6</v>
      </c>
      <c r="Q23" s="76">
        <f t="shared" si="3"/>
        <v>268329</v>
      </c>
    </row>
    <row r="24" spans="1:17" ht="15" customHeight="1" thickBot="1">
      <c r="D24" s="3">
        <v>0.55000000000000004</v>
      </c>
      <c r="E24" s="3">
        <v>0.94913000000000003</v>
      </c>
      <c r="I24" s="74">
        <f t="shared" ref="I24:I33" si="4">E24*$I$14</f>
        <v>132878.20000000001</v>
      </c>
      <c r="J24" s="87">
        <v>0.55000000000000004</v>
      </c>
      <c r="K24" s="76">
        <f t="shared" si="3"/>
        <v>61693.450000000012</v>
      </c>
      <c r="L24" s="76">
        <f t="shared" si="3"/>
        <v>75930.400000000023</v>
      </c>
      <c r="M24" s="76">
        <f t="shared" si="3"/>
        <v>94913</v>
      </c>
      <c r="N24" s="76">
        <f t="shared" si="3"/>
        <v>132878.20000000001</v>
      </c>
      <c r="O24" s="76">
        <f t="shared" si="3"/>
        <v>166097.75</v>
      </c>
      <c r="P24" s="76">
        <f t="shared" si="3"/>
        <v>208808.60000000003</v>
      </c>
      <c r="Q24" s="76">
        <f t="shared" si="3"/>
        <v>284739</v>
      </c>
    </row>
    <row r="25" spans="1:17" ht="15" customHeight="1" thickTop="1" thickBot="1">
      <c r="A25" s="84">
        <v>0.59336</v>
      </c>
      <c r="C25" s="83" t="s">
        <v>236</v>
      </c>
      <c r="D25" s="52">
        <v>0.59336</v>
      </c>
      <c r="E25" s="3">
        <v>1</v>
      </c>
      <c r="I25" s="74">
        <f t="shared" si="4"/>
        <v>140000</v>
      </c>
      <c r="J25" s="87">
        <v>0.59336</v>
      </c>
      <c r="K25" s="76">
        <f t="shared" si="3"/>
        <v>65000.000000000007</v>
      </c>
      <c r="L25" s="76">
        <f t="shared" si="3"/>
        <v>80000.000000000015</v>
      </c>
      <c r="M25" s="76">
        <f t="shared" si="3"/>
        <v>100000</v>
      </c>
      <c r="N25" s="76">
        <f t="shared" si="3"/>
        <v>140000</v>
      </c>
      <c r="O25" s="76">
        <f t="shared" si="3"/>
        <v>175000</v>
      </c>
      <c r="P25" s="76">
        <f t="shared" si="3"/>
        <v>220000.00000000003</v>
      </c>
      <c r="Q25" s="76">
        <f t="shared" si="3"/>
        <v>300000</v>
      </c>
    </row>
    <row r="26" spans="1:17" ht="15" customHeight="1" thickTop="1">
      <c r="D26" s="3">
        <v>0.60000000000000009</v>
      </c>
      <c r="E26" s="3">
        <v>1.00814</v>
      </c>
      <c r="I26" s="74">
        <f t="shared" si="4"/>
        <v>141139.6</v>
      </c>
      <c r="J26" s="87">
        <v>0.6</v>
      </c>
      <c r="K26" s="76">
        <f t="shared" si="3"/>
        <v>65529.100000000013</v>
      </c>
      <c r="L26" s="76">
        <f t="shared" si="3"/>
        <v>80651.200000000012</v>
      </c>
      <c r="M26" s="76">
        <f t="shared" si="3"/>
        <v>100814</v>
      </c>
      <c r="N26" s="76">
        <f t="shared" si="3"/>
        <v>141139.6</v>
      </c>
      <c r="O26" s="76">
        <f t="shared" si="3"/>
        <v>176424.5</v>
      </c>
      <c r="P26" s="76">
        <f t="shared" si="3"/>
        <v>221790.80000000005</v>
      </c>
      <c r="Q26" s="76">
        <f t="shared" si="3"/>
        <v>302442</v>
      </c>
    </row>
    <row r="27" spans="1:17" ht="15" customHeight="1">
      <c r="D27" s="3">
        <v>0.65000000000000013</v>
      </c>
      <c r="E27" s="3">
        <v>1.0729900000000001</v>
      </c>
      <c r="I27" s="74">
        <f t="shared" si="4"/>
        <v>150218.6</v>
      </c>
      <c r="J27" s="87">
        <v>0.65</v>
      </c>
      <c r="K27" s="76">
        <f t="shared" si="3"/>
        <v>69744.35000000002</v>
      </c>
      <c r="L27" s="76">
        <f t="shared" si="3"/>
        <v>85839.200000000026</v>
      </c>
      <c r="M27" s="76">
        <f t="shared" si="3"/>
        <v>107299.00000000001</v>
      </c>
      <c r="N27" s="76">
        <f t="shared" si="3"/>
        <v>150218.6</v>
      </c>
      <c r="O27" s="76">
        <f t="shared" si="3"/>
        <v>187773.25000000003</v>
      </c>
      <c r="P27" s="76">
        <f t="shared" si="3"/>
        <v>236057.80000000005</v>
      </c>
      <c r="Q27" s="76">
        <f t="shared" si="3"/>
        <v>321897.00000000006</v>
      </c>
    </row>
    <row r="28" spans="1:17" ht="15" customHeight="1">
      <c r="D28" s="3">
        <v>0.70000000000000018</v>
      </c>
      <c r="E28" s="3">
        <v>1.14585</v>
      </c>
      <c r="I28" s="74">
        <f t="shared" si="4"/>
        <v>160419</v>
      </c>
      <c r="J28" s="87">
        <v>0.7</v>
      </c>
      <c r="K28" s="76">
        <f t="shared" si="3"/>
        <v>74480.250000000015</v>
      </c>
      <c r="L28" s="76">
        <f t="shared" si="3"/>
        <v>91668.000000000015</v>
      </c>
      <c r="M28" s="76">
        <f t="shared" si="3"/>
        <v>114585</v>
      </c>
      <c r="N28" s="76">
        <f t="shared" si="3"/>
        <v>160419</v>
      </c>
      <c r="O28" s="76">
        <f t="shared" si="3"/>
        <v>200523.75</v>
      </c>
      <c r="P28" s="76">
        <f t="shared" si="3"/>
        <v>252087.00000000003</v>
      </c>
      <c r="Q28" s="76">
        <f t="shared" si="3"/>
        <v>343755</v>
      </c>
    </row>
    <row r="29" spans="1:17" s="72" customFormat="1" ht="15" customHeight="1">
      <c r="D29" s="3">
        <v>0.75000000000000022</v>
      </c>
      <c r="E29" s="3">
        <v>1.23004</v>
      </c>
      <c r="I29" s="74">
        <f t="shared" si="4"/>
        <v>172205.6</v>
      </c>
      <c r="J29" s="87">
        <v>0.75</v>
      </c>
      <c r="K29" s="76">
        <f t="shared" si="3"/>
        <v>79952.600000000006</v>
      </c>
      <c r="L29" s="76">
        <f t="shared" si="3"/>
        <v>98403.200000000026</v>
      </c>
      <c r="M29" s="76">
        <f t="shared" si="3"/>
        <v>123004</v>
      </c>
      <c r="N29" s="76">
        <f t="shared" si="3"/>
        <v>172205.6</v>
      </c>
      <c r="O29" s="76">
        <f t="shared" si="3"/>
        <v>215257</v>
      </c>
      <c r="P29" s="76">
        <f t="shared" si="3"/>
        <v>270608.80000000005</v>
      </c>
      <c r="Q29" s="76">
        <f t="shared" si="3"/>
        <v>369012</v>
      </c>
    </row>
    <row r="30" spans="1:17" s="72" customFormat="1" ht="15" customHeight="1">
      <c r="D30" s="3">
        <v>0.80000000000000027</v>
      </c>
      <c r="E30" s="3">
        <v>1.33108</v>
      </c>
      <c r="I30" s="74">
        <f t="shared" si="4"/>
        <v>186351.2</v>
      </c>
      <c r="J30" s="87">
        <v>0.8</v>
      </c>
      <c r="K30" s="76">
        <f t="shared" si="3"/>
        <v>86520.200000000012</v>
      </c>
      <c r="L30" s="76">
        <f t="shared" si="3"/>
        <v>106486.40000000002</v>
      </c>
      <c r="M30" s="76">
        <f t="shared" si="3"/>
        <v>133108</v>
      </c>
      <c r="N30" s="76">
        <f t="shared" si="3"/>
        <v>186351.2</v>
      </c>
      <c r="O30" s="76">
        <f t="shared" si="3"/>
        <v>232939</v>
      </c>
      <c r="P30" s="76">
        <f t="shared" si="3"/>
        <v>292837.60000000003</v>
      </c>
      <c r="Q30" s="76">
        <f t="shared" si="3"/>
        <v>399324</v>
      </c>
    </row>
    <row r="31" spans="1:17" s="72" customFormat="1" ht="15" customHeight="1">
      <c r="D31" s="3">
        <v>0.85000000000000031</v>
      </c>
      <c r="E31" s="3">
        <v>1.45939</v>
      </c>
      <c r="I31" s="74">
        <f t="shared" si="4"/>
        <v>204314.6</v>
      </c>
      <c r="J31" s="87">
        <v>0.85</v>
      </c>
      <c r="K31" s="76">
        <f t="shared" si="3"/>
        <v>94860.35</v>
      </c>
      <c r="L31" s="76">
        <f t="shared" si="3"/>
        <v>116751.20000000001</v>
      </c>
      <c r="M31" s="76">
        <f t="shared" si="3"/>
        <v>145939</v>
      </c>
      <c r="N31" s="76">
        <f t="shared" si="3"/>
        <v>204314.6</v>
      </c>
      <c r="O31" s="76">
        <f t="shared" si="3"/>
        <v>255393.25</v>
      </c>
      <c r="P31" s="76">
        <f t="shared" si="3"/>
        <v>321065.80000000005</v>
      </c>
      <c r="Q31" s="76">
        <f t="shared" si="3"/>
        <v>437817</v>
      </c>
    </row>
    <row r="32" spans="1:17" s="72" customFormat="1" ht="15" customHeight="1">
      <c r="D32" s="3">
        <v>0.90000000000000036</v>
      </c>
      <c r="E32" s="3">
        <v>1.6385400000000001</v>
      </c>
      <c r="I32" s="74">
        <f t="shared" si="4"/>
        <v>229395.6</v>
      </c>
      <c r="J32" s="87">
        <v>0.9</v>
      </c>
      <c r="K32" s="76">
        <f t="shared" si="3"/>
        <v>106505.10000000002</v>
      </c>
      <c r="L32" s="76">
        <f t="shared" si="3"/>
        <v>131083.20000000004</v>
      </c>
      <c r="M32" s="76">
        <f t="shared" si="3"/>
        <v>163854</v>
      </c>
      <c r="N32" s="76">
        <f t="shared" si="3"/>
        <v>229395.6</v>
      </c>
      <c r="O32" s="76">
        <f t="shared" si="3"/>
        <v>286744.5</v>
      </c>
      <c r="P32" s="76">
        <f t="shared" si="3"/>
        <v>360478.80000000005</v>
      </c>
      <c r="Q32" s="76">
        <f t="shared" si="3"/>
        <v>491562.00000000006</v>
      </c>
    </row>
    <row r="33" spans="1:24" s="72" customFormat="1" ht="15" customHeight="1">
      <c r="D33" s="3">
        <v>0.9500000000000004</v>
      </c>
      <c r="E33" s="3">
        <v>1.9453199999999999</v>
      </c>
      <c r="I33" s="74">
        <f t="shared" si="4"/>
        <v>272344.8</v>
      </c>
      <c r="J33" s="87">
        <v>0.95</v>
      </c>
      <c r="K33" s="76">
        <f t="shared" si="3"/>
        <v>126445.8</v>
      </c>
      <c r="L33" s="76">
        <f t="shared" si="3"/>
        <v>155625.60000000003</v>
      </c>
      <c r="M33" s="76">
        <f t="shared" si="3"/>
        <v>194532</v>
      </c>
      <c r="N33" s="76">
        <f t="shared" si="3"/>
        <v>272344.8</v>
      </c>
      <c r="O33" s="76">
        <f t="shared" si="3"/>
        <v>340431</v>
      </c>
      <c r="P33" s="76">
        <f t="shared" si="3"/>
        <v>427970.4</v>
      </c>
      <c r="Q33" s="76">
        <f t="shared" si="3"/>
        <v>583596</v>
      </c>
    </row>
    <row r="34" spans="1:24" s="72" customFormat="1" ht="15" customHeight="1">
      <c r="F34" s="71"/>
    </row>
    <row r="35" spans="1:24" s="72" customFormat="1" ht="15" customHeight="1">
      <c r="F35" s="71"/>
    </row>
    <row r="36" spans="1:24" s="72" customFormat="1" ht="15" customHeight="1">
      <c r="D36" s="93" t="s">
        <v>270</v>
      </c>
      <c r="E36" s="93" t="s">
        <v>176</v>
      </c>
      <c r="F36" s="71"/>
    </row>
    <row r="37" spans="1:24" s="72" customFormat="1" ht="15" customHeight="1">
      <c r="D37" s="72">
        <v>1</v>
      </c>
      <c r="E37" s="94">
        <v>0.32</v>
      </c>
      <c r="F37" s="71"/>
    </row>
    <row r="38" spans="1:24" s="72" customFormat="1" ht="15" customHeight="1">
      <c r="D38" s="72">
        <v>2</v>
      </c>
      <c r="E38" s="94">
        <v>0.26</v>
      </c>
      <c r="F38" s="71"/>
    </row>
    <row r="39" spans="1:24" ht="15" customHeight="1">
      <c r="D39">
        <v>3</v>
      </c>
      <c r="E39" s="94">
        <v>0.15</v>
      </c>
    </row>
    <row r="40" spans="1:24" ht="15" customHeight="1">
      <c r="D40" s="72">
        <v>4</v>
      </c>
      <c r="E40" s="94">
        <v>0.1</v>
      </c>
    </row>
    <row r="41" spans="1:24" ht="15" customHeight="1">
      <c r="D41" s="72">
        <v>5</v>
      </c>
      <c r="E41" s="94">
        <v>7.0000000000000007E-2</v>
      </c>
    </row>
    <row r="42" spans="1:24" ht="15" customHeight="1">
      <c r="D42" s="72">
        <v>6</v>
      </c>
      <c r="E42" s="94">
        <v>4.4999999999999998E-2</v>
      </c>
    </row>
    <row r="43" spans="1:24" ht="15" customHeight="1">
      <c r="D43" s="72">
        <v>7</v>
      </c>
      <c r="E43" s="94">
        <v>3.3000000000000002E-2</v>
      </c>
    </row>
    <row r="44" spans="1:24" ht="15" customHeight="1">
      <c r="D44" s="72">
        <v>8</v>
      </c>
      <c r="E44" s="94">
        <v>1.2E-2</v>
      </c>
    </row>
    <row r="45" spans="1:24" ht="15" customHeight="1">
      <c r="D45" s="72">
        <v>9</v>
      </c>
      <c r="E45" s="94">
        <v>0.01</v>
      </c>
    </row>
    <row r="46" spans="1:24" ht="15" customHeight="1">
      <c r="D46" s="72"/>
      <c r="E46" s="94"/>
    </row>
    <row r="47" spans="1:24" ht="15" customHeight="1">
      <c r="D47" s="72"/>
      <c r="E47" s="94"/>
    </row>
    <row r="48" spans="1:24" ht="15" customHeight="1" thickBot="1">
      <c r="A48" s="15"/>
      <c r="B48" s="15"/>
      <c r="C48" s="15"/>
      <c r="D48" s="100"/>
      <c r="E48" s="101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spans="1:26" ht="15" customHeight="1" thickTop="1" thickBot="1">
      <c r="A49" s="15"/>
      <c r="B49" s="15"/>
      <c r="C49" s="15"/>
      <c r="D49" s="100"/>
      <c r="E49" s="101"/>
      <c r="F49" s="15" t="s">
        <v>309</v>
      </c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spans="1:26" ht="15" customHeight="1" thickTop="1">
      <c r="D50" s="72"/>
      <c r="E50" s="94"/>
    </row>
    <row r="51" spans="1:26" ht="15" customHeight="1">
      <c r="F51" t="s">
        <v>170</v>
      </c>
      <c r="G51" s="2">
        <v>1750000</v>
      </c>
      <c r="H51" t="s">
        <v>176</v>
      </c>
      <c r="I51" t="s">
        <v>177</v>
      </c>
      <c r="K51">
        <v>0.35194675858390551</v>
      </c>
      <c r="L51">
        <v>0.22059724510378712</v>
      </c>
      <c r="M51">
        <v>0.14543560734702574</v>
      </c>
      <c r="N51">
        <v>9.9424878194483521E-2</v>
      </c>
      <c r="O51">
        <v>6.9191101611798506E-2</v>
      </c>
      <c r="P51">
        <v>4.8645655722927318E-2</v>
      </c>
      <c r="Q51">
        <v>3.3490789691403566E-2</v>
      </c>
      <c r="R51">
        <v>2.1559037862821172E-2</v>
      </c>
      <c r="S51">
        <v>9.7089258818474737E-3</v>
      </c>
      <c r="T51">
        <v>0</v>
      </c>
      <c r="U51">
        <f>SUM(K51:T51)</f>
        <v>1</v>
      </c>
    </row>
    <row r="52" spans="1:26" ht="15" customHeight="1">
      <c r="F52" t="s">
        <v>171</v>
      </c>
      <c r="G52" s="2">
        <v>750000</v>
      </c>
      <c r="I52" t="s">
        <v>178</v>
      </c>
      <c r="K52">
        <v>0.24163568773234201</v>
      </c>
      <c r="L52">
        <v>0.28302798939770279</v>
      </c>
      <c r="M52">
        <v>0.16195604117981433</v>
      </c>
      <c r="N52">
        <v>9.914253823815955E-2</v>
      </c>
      <c r="O52">
        <v>6.5146834361072159E-2</v>
      </c>
      <c r="P52">
        <v>4.4270710162064519E-2</v>
      </c>
      <c r="Q52">
        <v>3.265525047523643E-2</v>
      </c>
      <c r="R52">
        <v>2.5710180727446685E-2</v>
      </c>
      <c r="S52">
        <v>2.5534265634111208E-2</v>
      </c>
      <c r="T52">
        <v>2.0920502092050319E-2</v>
      </c>
      <c r="U52">
        <f>SUM(K52:T52)</f>
        <v>1</v>
      </c>
    </row>
    <row r="53" spans="1:26" ht="15" customHeight="1">
      <c r="F53" t="s">
        <v>172</v>
      </c>
      <c r="G53" s="2">
        <v>750000</v>
      </c>
    </row>
    <row r="54" spans="1:26" ht="15" customHeight="1">
      <c r="F54" t="s">
        <v>173</v>
      </c>
      <c r="G54" s="2">
        <v>750000</v>
      </c>
      <c r="K54">
        <f t="shared" ref="K54:T54" si="5">$G51*K$51</f>
        <v>615906.82752183464</v>
      </c>
      <c r="L54">
        <f t="shared" si="5"/>
        <v>386045.17893162742</v>
      </c>
      <c r="M54">
        <f t="shared" si="5"/>
        <v>254512.31285729504</v>
      </c>
      <c r="N54">
        <f t="shared" si="5"/>
        <v>173993.53684034615</v>
      </c>
      <c r="O54">
        <f t="shared" si="5"/>
        <v>121084.42782064738</v>
      </c>
      <c r="P54">
        <f t="shared" si="5"/>
        <v>85129.897515122808</v>
      </c>
      <c r="Q54">
        <f t="shared" si="5"/>
        <v>58608.881959956241</v>
      </c>
      <c r="R54">
        <f t="shared" si="5"/>
        <v>37728.316259937048</v>
      </c>
      <c r="S54">
        <f t="shared" si="5"/>
        <v>16990.620293233078</v>
      </c>
      <c r="T54">
        <f t="shared" si="5"/>
        <v>0</v>
      </c>
      <c r="Z54" s="2">
        <f>SUM(K54:Y54)</f>
        <v>1749999.9999999998</v>
      </c>
    </row>
    <row r="55" spans="1:26" ht="15" customHeight="1">
      <c r="F55" t="s">
        <v>174</v>
      </c>
      <c r="G55" s="2">
        <v>750000</v>
      </c>
      <c r="K55">
        <f t="shared" ref="K55:T55" si="6">$G52*K$52</f>
        <v>181226.76579925651</v>
      </c>
      <c r="L55">
        <f t="shared" si="6"/>
        <v>212270.99204827708</v>
      </c>
      <c r="M55">
        <f t="shared" si="6"/>
        <v>121467.03088486074</v>
      </c>
      <c r="N55">
        <f t="shared" si="6"/>
        <v>74356.903678619667</v>
      </c>
      <c r="O55">
        <f t="shared" si="6"/>
        <v>48860.125770804116</v>
      </c>
      <c r="P55">
        <f t="shared" si="6"/>
        <v>33203.032621548387</v>
      </c>
      <c r="Q55">
        <f t="shared" si="6"/>
        <v>24491.437856427321</v>
      </c>
      <c r="R55">
        <f t="shared" si="6"/>
        <v>19282.635545585013</v>
      </c>
      <c r="S55">
        <f t="shared" si="6"/>
        <v>19150.699225583405</v>
      </c>
      <c r="T55">
        <f t="shared" si="6"/>
        <v>15690.376569037739</v>
      </c>
      <c r="Z55" s="2">
        <f t="shared" ref="Z55:Z61" si="7">SUM(K55:Y55)</f>
        <v>750000</v>
      </c>
    </row>
    <row r="56" spans="1:26" ht="15" customHeight="1">
      <c r="F56" t="s">
        <v>175</v>
      </c>
      <c r="G56" s="2">
        <v>750000</v>
      </c>
      <c r="L56">
        <f t="shared" ref="L56:U56" si="8">$G53*K$52</f>
        <v>181226.76579925651</v>
      </c>
      <c r="M56">
        <f t="shared" si="8"/>
        <v>212270.99204827708</v>
      </c>
      <c r="N56">
        <f t="shared" si="8"/>
        <v>121467.03088486074</v>
      </c>
      <c r="O56">
        <f t="shared" si="8"/>
        <v>74356.903678619667</v>
      </c>
      <c r="P56">
        <f t="shared" si="8"/>
        <v>48860.125770804116</v>
      </c>
      <c r="Q56">
        <f t="shared" si="8"/>
        <v>33203.032621548387</v>
      </c>
      <c r="R56">
        <f t="shared" si="8"/>
        <v>24491.437856427321</v>
      </c>
      <c r="S56">
        <f t="shared" si="8"/>
        <v>19282.635545585013</v>
      </c>
      <c r="T56">
        <f t="shared" si="8"/>
        <v>19150.699225583405</v>
      </c>
      <c r="U56">
        <f t="shared" si="8"/>
        <v>15690.376569037739</v>
      </c>
      <c r="Z56" s="2">
        <f t="shared" si="7"/>
        <v>750000</v>
      </c>
    </row>
    <row r="57" spans="1:26" ht="15" customHeight="1">
      <c r="M57">
        <f t="shared" ref="M57:V57" si="9">$G54*K$52</f>
        <v>181226.76579925651</v>
      </c>
      <c r="N57">
        <f t="shared" si="9"/>
        <v>212270.99204827708</v>
      </c>
      <c r="O57">
        <f t="shared" si="9"/>
        <v>121467.03088486074</v>
      </c>
      <c r="P57">
        <f t="shared" si="9"/>
        <v>74356.903678619667</v>
      </c>
      <c r="Q57">
        <f t="shared" si="9"/>
        <v>48860.125770804116</v>
      </c>
      <c r="R57">
        <f t="shared" si="9"/>
        <v>33203.032621548387</v>
      </c>
      <c r="S57">
        <f t="shared" si="9"/>
        <v>24491.437856427321</v>
      </c>
      <c r="T57">
        <f t="shared" si="9"/>
        <v>19282.635545585013</v>
      </c>
      <c r="U57">
        <f t="shared" si="9"/>
        <v>19150.699225583405</v>
      </c>
      <c r="V57">
        <f t="shared" si="9"/>
        <v>15690.376569037739</v>
      </c>
      <c r="Z57" s="2">
        <f t="shared" si="7"/>
        <v>750000</v>
      </c>
    </row>
    <row r="58" spans="1:26" ht="15" customHeight="1">
      <c r="N58">
        <f t="shared" ref="N58:W58" si="10">$G55*K$52</f>
        <v>181226.76579925651</v>
      </c>
      <c r="O58">
        <f t="shared" si="10"/>
        <v>212270.99204827708</v>
      </c>
      <c r="P58">
        <f t="shared" si="10"/>
        <v>121467.03088486074</v>
      </c>
      <c r="Q58">
        <f t="shared" si="10"/>
        <v>74356.903678619667</v>
      </c>
      <c r="R58">
        <f t="shared" si="10"/>
        <v>48860.125770804116</v>
      </c>
      <c r="S58">
        <f t="shared" si="10"/>
        <v>33203.032621548387</v>
      </c>
      <c r="T58">
        <f t="shared" si="10"/>
        <v>24491.437856427321</v>
      </c>
      <c r="U58">
        <f t="shared" si="10"/>
        <v>19282.635545585013</v>
      </c>
      <c r="V58">
        <f t="shared" si="10"/>
        <v>19150.699225583405</v>
      </c>
      <c r="W58">
        <f t="shared" si="10"/>
        <v>15690.376569037739</v>
      </c>
      <c r="Z58" s="2">
        <f t="shared" si="7"/>
        <v>750000</v>
      </c>
    </row>
    <row r="59" spans="1:26" ht="15" customHeight="1">
      <c r="O59">
        <f t="shared" ref="O59:X59" si="11">$G56*K$52</f>
        <v>181226.76579925651</v>
      </c>
      <c r="P59">
        <f t="shared" si="11"/>
        <v>212270.99204827708</v>
      </c>
      <c r="Q59">
        <f t="shared" si="11"/>
        <v>121467.03088486074</v>
      </c>
      <c r="R59">
        <f t="shared" si="11"/>
        <v>74356.903678619667</v>
      </c>
      <c r="S59">
        <f t="shared" si="11"/>
        <v>48860.125770804116</v>
      </c>
      <c r="T59">
        <f t="shared" si="11"/>
        <v>33203.032621548387</v>
      </c>
      <c r="U59">
        <f t="shared" si="11"/>
        <v>24491.437856427321</v>
      </c>
      <c r="V59">
        <f t="shared" si="11"/>
        <v>19282.635545585013</v>
      </c>
      <c r="W59">
        <f t="shared" si="11"/>
        <v>19150.699225583405</v>
      </c>
      <c r="X59">
        <f t="shared" si="11"/>
        <v>15690.376569037739</v>
      </c>
      <c r="Z59" s="2">
        <f t="shared" si="7"/>
        <v>750000</v>
      </c>
    </row>
    <row r="60" spans="1:26" ht="15" customHeight="1"/>
    <row r="61" spans="1:26" ht="15" customHeight="1">
      <c r="G61" s="2">
        <f>G51+G52</f>
        <v>2500000</v>
      </c>
      <c r="H61">
        <f>K61/G61</f>
        <v>0.31885343732843646</v>
      </c>
      <c r="K61">
        <f>SUM(K54:K59)</f>
        <v>797133.59332109115</v>
      </c>
      <c r="L61">
        <f t="shared" ref="L61:X61" si="12">SUM(L54:L59)</f>
        <v>779542.93677916098</v>
      </c>
      <c r="M61">
        <f t="shared" si="12"/>
        <v>769477.10158968938</v>
      </c>
      <c r="N61">
        <f t="shared" si="12"/>
        <v>763315.22925136017</v>
      </c>
      <c r="O61">
        <f t="shared" si="12"/>
        <v>759266.24600246549</v>
      </c>
      <c r="P61">
        <f t="shared" si="12"/>
        <v>575287.98251923278</v>
      </c>
      <c r="Q61">
        <f t="shared" si="12"/>
        <v>360987.41277221648</v>
      </c>
      <c r="R61">
        <f t="shared" si="12"/>
        <v>237922.45173292159</v>
      </c>
      <c r="S61">
        <f t="shared" si="12"/>
        <v>161978.55131318132</v>
      </c>
      <c r="T61">
        <f t="shared" si="12"/>
        <v>111818.18181818188</v>
      </c>
      <c r="U61">
        <f t="shared" si="12"/>
        <v>78615.149196633487</v>
      </c>
      <c r="V61">
        <f t="shared" si="12"/>
        <v>54123.711340206159</v>
      </c>
      <c r="W61">
        <f t="shared" si="12"/>
        <v>34841.075794621145</v>
      </c>
      <c r="X61">
        <f t="shared" si="12"/>
        <v>15690.376569037739</v>
      </c>
      <c r="Z61" s="2">
        <f t="shared" si="7"/>
        <v>5499999.9999999991</v>
      </c>
    </row>
    <row r="62" spans="1:26" ht="15" customHeight="1">
      <c r="G62" s="2">
        <f>(G61-K61+G53)</f>
        <v>2452866.406678909</v>
      </c>
      <c r="H62">
        <f>L61/G62</f>
        <v>0.31780896613714626</v>
      </c>
    </row>
    <row r="63" spans="1:26" ht="15" customHeight="1">
      <c r="K63" s="2">
        <f>$G51-K54</f>
        <v>1134093.1724781655</v>
      </c>
      <c r="L63" s="2">
        <f>K63-L54</f>
        <v>748047.99354653805</v>
      </c>
      <c r="M63" s="2">
        <f t="shared" ref="M63:S63" si="13">L63-M54</f>
        <v>493535.68068924302</v>
      </c>
      <c r="N63" s="2">
        <f t="shared" si="13"/>
        <v>319542.14384889684</v>
      </c>
      <c r="O63" s="2">
        <f t="shared" si="13"/>
        <v>198457.71602824947</v>
      </c>
      <c r="P63" s="2">
        <f t="shared" si="13"/>
        <v>113327.81851312667</v>
      </c>
      <c r="Q63" s="2">
        <f t="shared" si="13"/>
        <v>54718.936553170424</v>
      </c>
      <c r="R63" s="2">
        <f t="shared" si="13"/>
        <v>16990.620293233376</v>
      </c>
      <c r="S63" s="2">
        <f t="shared" si="13"/>
        <v>2.9831426218152046E-10</v>
      </c>
      <c r="T63" s="2"/>
    </row>
    <row r="64" spans="1:26" ht="15" customHeight="1">
      <c r="K64" s="2">
        <f>$G52-K55</f>
        <v>568773.23420074349</v>
      </c>
      <c r="L64" s="2">
        <f t="shared" ref="L64:X68" si="14">K64-L55</f>
        <v>356502.24215246644</v>
      </c>
      <c r="M64" s="2">
        <f t="shared" si="14"/>
        <v>235035.21126760571</v>
      </c>
      <c r="N64" s="2">
        <f t="shared" si="14"/>
        <v>160678.30758898606</v>
      </c>
      <c r="O64" s="2">
        <f t="shared" si="14"/>
        <v>111818.18181818194</v>
      </c>
      <c r="P64" s="2">
        <f t="shared" si="14"/>
        <v>78615.149196633545</v>
      </c>
      <c r="Q64" s="2">
        <f t="shared" si="14"/>
        <v>54123.711340206224</v>
      </c>
      <c r="R64" s="2">
        <f t="shared" si="14"/>
        <v>34841.075794621211</v>
      </c>
      <c r="S64" s="2">
        <f t="shared" si="14"/>
        <v>15690.376569037806</v>
      </c>
      <c r="T64" s="2">
        <f t="shared" si="14"/>
        <v>6.730260793119669E-11</v>
      </c>
    </row>
    <row r="65" spans="9:24" ht="15" customHeight="1">
      <c r="L65" s="2">
        <f>$G53-L56</f>
        <v>568773.23420074349</v>
      </c>
      <c r="M65" s="2">
        <f t="shared" si="14"/>
        <v>356502.24215246644</v>
      </c>
      <c r="N65" s="2">
        <f t="shared" si="14"/>
        <v>235035.21126760571</v>
      </c>
      <c r="O65" s="2">
        <f t="shared" si="14"/>
        <v>160678.30758898606</v>
      </c>
      <c r="P65" s="2">
        <f t="shared" si="14"/>
        <v>111818.18181818194</v>
      </c>
      <c r="Q65" s="2">
        <f t="shared" si="14"/>
        <v>78615.149196633545</v>
      </c>
      <c r="R65" s="2">
        <f t="shared" si="14"/>
        <v>54123.711340206224</v>
      </c>
      <c r="S65" s="2">
        <f t="shared" si="14"/>
        <v>34841.075794621211</v>
      </c>
      <c r="T65" s="2">
        <f t="shared" si="14"/>
        <v>15690.376569037806</v>
      </c>
      <c r="U65" s="2">
        <f t="shared" si="14"/>
        <v>6.730260793119669E-11</v>
      </c>
    </row>
    <row r="66" spans="9:24" ht="15" customHeight="1">
      <c r="M66" s="2">
        <f>$G54-M57</f>
        <v>568773.23420074349</v>
      </c>
      <c r="N66" s="2">
        <f t="shared" si="14"/>
        <v>356502.24215246644</v>
      </c>
      <c r="O66" s="2">
        <f t="shared" si="14"/>
        <v>235035.21126760571</v>
      </c>
      <c r="P66" s="2">
        <f t="shared" si="14"/>
        <v>160678.30758898606</v>
      </c>
      <c r="Q66" s="2">
        <f t="shared" si="14"/>
        <v>111818.18181818194</v>
      </c>
      <c r="R66" s="2">
        <f t="shared" si="14"/>
        <v>78615.149196633545</v>
      </c>
      <c r="S66" s="2">
        <f t="shared" si="14"/>
        <v>54123.711340206224</v>
      </c>
      <c r="T66" s="2">
        <f t="shared" si="14"/>
        <v>34841.075794621211</v>
      </c>
      <c r="U66" s="2">
        <f t="shared" si="14"/>
        <v>15690.376569037806</v>
      </c>
      <c r="V66" s="2">
        <f t="shared" si="14"/>
        <v>6.730260793119669E-11</v>
      </c>
    </row>
    <row r="67" spans="9:24" ht="15" customHeight="1">
      <c r="N67" s="2">
        <f>$G55-N58</f>
        <v>568773.23420074349</v>
      </c>
      <c r="O67" s="2">
        <f t="shared" si="14"/>
        <v>356502.24215246644</v>
      </c>
      <c r="P67" s="2">
        <f t="shared" si="14"/>
        <v>235035.21126760571</v>
      </c>
      <c r="Q67" s="2">
        <f t="shared" si="14"/>
        <v>160678.30758898606</v>
      </c>
      <c r="R67" s="2">
        <f t="shared" si="14"/>
        <v>111818.18181818194</v>
      </c>
      <c r="S67" s="2">
        <f t="shared" si="14"/>
        <v>78615.149196633545</v>
      </c>
      <c r="T67" s="2">
        <f t="shared" si="14"/>
        <v>54123.711340206224</v>
      </c>
      <c r="U67" s="2">
        <f t="shared" si="14"/>
        <v>34841.075794621211</v>
      </c>
      <c r="V67" s="2">
        <f t="shared" si="14"/>
        <v>15690.376569037806</v>
      </c>
      <c r="W67" s="2">
        <f t="shared" si="14"/>
        <v>6.730260793119669E-11</v>
      </c>
    </row>
    <row r="68" spans="9:24" ht="15" customHeight="1">
      <c r="O68" s="2">
        <f>$G56-O59</f>
        <v>568773.23420074349</v>
      </c>
      <c r="P68" s="2">
        <f t="shared" si="14"/>
        <v>356502.24215246644</v>
      </c>
      <c r="Q68" s="2">
        <f t="shared" si="14"/>
        <v>235035.21126760571</v>
      </c>
      <c r="R68" s="2">
        <f t="shared" si="14"/>
        <v>160678.30758898606</v>
      </c>
      <c r="S68" s="2">
        <f t="shared" si="14"/>
        <v>111818.18181818194</v>
      </c>
      <c r="T68" s="2">
        <f t="shared" si="14"/>
        <v>78615.149196633545</v>
      </c>
      <c r="U68" s="2">
        <f t="shared" si="14"/>
        <v>54123.711340206224</v>
      </c>
      <c r="V68" s="2">
        <f t="shared" si="14"/>
        <v>34841.075794621211</v>
      </c>
      <c r="W68" s="2">
        <f t="shared" si="14"/>
        <v>15690.376569037806</v>
      </c>
      <c r="X68" s="2">
        <f t="shared" si="14"/>
        <v>6.730260793119669E-11</v>
      </c>
    </row>
    <row r="69" spans="9:24" ht="15" customHeight="1"/>
    <row r="70" spans="9:24" ht="15" customHeight="1">
      <c r="K70">
        <f>SUM(K63:K68)</f>
        <v>1702866.406678909</v>
      </c>
      <c r="L70">
        <f t="shared" ref="L70:X70" si="15">SUM(L63:L68)</f>
        <v>1673323.469899748</v>
      </c>
      <c r="M70">
        <f t="shared" si="15"/>
        <v>1653846.3683100587</v>
      </c>
      <c r="N70">
        <f t="shared" si="15"/>
        <v>1640531.1390586984</v>
      </c>
      <c r="O70">
        <f t="shared" si="15"/>
        <v>1631264.8930562332</v>
      </c>
      <c r="P70">
        <f t="shared" si="15"/>
        <v>1055976.9105370003</v>
      </c>
      <c r="Q70">
        <f t="shared" si="15"/>
        <v>694989.49776478391</v>
      </c>
      <c r="R70">
        <f t="shared" si="15"/>
        <v>457067.04603186232</v>
      </c>
      <c r="S70">
        <f t="shared" si="15"/>
        <v>295088.49471868103</v>
      </c>
      <c r="T70">
        <f t="shared" si="15"/>
        <v>183270.31290049886</v>
      </c>
      <c r="U70">
        <f t="shared" si="15"/>
        <v>104655.16370386531</v>
      </c>
      <c r="V70">
        <f t="shared" si="15"/>
        <v>50531.452363659082</v>
      </c>
      <c r="W70">
        <f t="shared" si="15"/>
        <v>15690.376569037873</v>
      </c>
      <c r="X70">
        <f t="shared" si="15"/>
        <v>6.730260793119669E-11</v>
      </c>
    </row>
    <row r="71" spans="9:24" ht="15" customHeight="1"/>
    <row r="72" spans="9:24" ht="15" customHeight="1"/>
    <row r="73" spans="9:24" ht="15" customHeight="1"/>
    <row r="74" spans="9:24" ht="15" customHeight="1">
      <c r="I74" t="s">
        <v>226</v>
      </c>
      <c r="K74">
        <v>0.35194675858390551</v>
      </c>
      <c r="L74">
        <v>0.22059724510378712</v>
      </c>
      <c r="M74">
        <v>0.14543560734702574</v>
      </c>
      <c r="N74">
        <v>9.9424878194483521E-2</v>
      </c>
      <c r="O74">
        <v>6.9191101611798506E-2</v>
      </c>
      <c r="P74">
        <v>4.8645655722927318E-2</v>
      </c>
      <c r="Q74">
        <v>3.3490789691403566E-2</v>
      </c>
      <c r="R74">
        <v>2.1559037862821172E-2</v>
      </c>
      <c r="S74">
        <v>9.7089258818474737E-3</v>
      </c>
      <c r="T74">
        <v>0</v>
      </c>
    </row>
    <row r="75" spans="9:24" ht="15" customHeight="1">
      <c r="I75" t="s">
        <v>227</v>
      </c>
      <c r="K75">
        <v>0.34050676235945293</v>
      </c>
      <c r="L75">
        <v>0.21282017658249294</v>
      </c>
      <c r="M75">
        <v>0.14512478140141649</v>
      </c>
      <c r="N75">
        <v>0.10630933842981166</v>
      </c>
      <c r="O75">
        <v>7.39820895047201E-2</v>
      </c>
      <c r="P75">
        <v>5.2014018737573046E-2</v>
      </c>
      <c r="Q75">
        <v>3.5809786848525531E-2</v>
      </c>
      <c r="R75">
        <v>2.3051846720863717E-2</v>
      </c>
      <c r="S75">
        <v>1.0381199415143446E-2</v>
      </c>
      <c r="T75">
        <v>0</v>
      </c>
    </row>
    <row r="76" spans="9:24" ht="15" customHeight="1">
      <c r="I76" t="s">
        <v>228</v>
      </c>
      <c r="K76">
        <v>0.35171177079179078</v>
      </c>
      <c r="L76">
        <v>0.21087805442523527</v>
      </c>
      <c r="M76">
        <v>0.13480877470128894</v>
      </c>
      <c r="N76">
        <v>9.1832814594914255E-2</v>
      </c>
      <c r="O76">
        <v>6.6341805556751454E-2</v>
      </c>
      <c r="P76">
        <v>5.4230968738744632E-2</v>
      </c>
      <c r="Q76">
        <v>4.6645878485516067E-2</v>
      </c>
      <c r="R76">
        <v>3.0027367813065475E-2</v>
      </c>
      <c r="S76">
        <v>1.3522564892693021E-2</v>
      </c>
      <c r="T76">
        <v>0</v>
      </c>
    </row>
    <row r="77" spans="9:24" ht="15" customHeight="1"/>
    <row r="78" spans="9:24" ht="15" customHeight="1"/>
    <row r="79" spans="9:24" ht="15" customHeight="1"/>
    <row r="80" spans="9:24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</sheetData>
  <phoneticPr fontId="67" type="noConversion"/>
  <pageMargins left="0.7" right="0.7" top="0.75" bottom="0.75" header="0.3" footer="0.3"/>
  <pageSetup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>
    <pageSetUpPr fitToPage="1"/>
  </sheetPr>
  <dimension ref="B2:P180"/>
  <sheetViews>
    <sheetView topLeftCell="B10" workbookViewId="0">
      <selection activeCell="Q26" sqref="Q26"/>
    </sheetView>
  </sheetViews>
  <sheetFormatPr defaultColWidth="8.81640625" defaultRowHeight="14.5"/>
  <cols>
    <col min="2" max="5" width="1.81640625" customWidth="1"/>
    <col min="6" max="6" width="12" customWidth="1"/>
    <col min="7" max="7" width="37.36328125" customWidth="1"/>
    <col min="8" max="8" width="14" style="7" bestFit="1" customWidth="1"/>
    <col min="9" max="9" width="3" customWidth="1"/>
    <col min="10" max="10" width="14" style="7" bestFit="1" customWidth="1"/>
    <col min="13" max="13" width="61" customWidth="1"/>
    <col min="14" max="14" width="11.36328125" customWidth="1"/>
    <col min="15" max="15" width="2.36328125" customWidth="1"/>
    <col min="16" max="16" width="10.08984375" bestFit="1" customWidth="1"/>
  </cols>
  <sheetData>
    <row r="2" spans="2:16" ht="26">
      <c r="B2" s="5" t="str">
        <f>'1-Start'!C7</f>
        <v>American Captive Company</v>
      </c>
    </row>
    <row r="4" spans="2:16" ht="26">
      <c r="B4" s="23" t="s">
        <v>52</v>
      </c>
      <c r="M4" s="23" t="s">
        <v>53</v>
      </c>
    </row>
    <row r="5" spans="2:16" ht="26">
      <c r="B5" s="5"/>
      <c r="I5" s="9" t="s">
        <v>199</v>
      </c>
    </row>
    <row r="6" spans="2:16" ht="15" thickBot="1">
      <c r="H6" s="8">
        <v>2017</v>
      </c>
      <c r="I6" s="8"/>
      <c r="J6" s="8">
        <v>2018</v>
      </c>
      <c r="M6" s="29" t="s">
        <v>56</v>
      </c>
      <c r="N6" s="30">
        <f>H6</f>
        <v>2017</v>
      </c>
      <c r="O6" s="30"/>
      <c r="P6" s="30">
        <f>J6</f>
        <v>2018</v>
      </c>
    </row>
    <row r="7" spans="2:16">
      <c r="B7" s="22" t="s">
        <v>115</v>
      </c>
      <c r="M7" t="str">
        <f>B7</f>
        <v>Gross Premium to Surplus</v>
      </c>
      <c r="N7" s="3">
        <f>H12</f>
        <v>1.1506808539567803</v>
      </c>
      <c r="O7" s="3"/>
      <c r="P7" s="3">
        <f>J12</f>
        <v>0.53969147345427293</v>
      </c>
    </row>
    <row r="8" spans="2:16">
      <c r="M8" t="str">
        <f>B15</f>
        <v>Net Premiums to Surplus</v>
      </c>
      <c r="N8" s="3">
        <f>H20</f>
        <v>2.1506808539567803</v>
      </c>
      <c r="O8" s="3"/>
      <c r="P8" s="3">
        <f>J20</f>
        <v>1.539691473454273</v>
      </c>
    </row>
    <row r="9" spans="2:16">
      <c r="C9" t="s">
        <v>86</v>
      </c>
      <c r="H9" s="7">
        <f>Historical!H9</f>
        <v>626250</v>
      </c>
      <c r="J9" s="7">
        <f>Historical!J9</f>
        <v>645335</v>
      </c>
      <c r="M9" t="s">
        <v>242</v>
      </c>
      <c r="N9" s="3">
        <f>H28</f>
        <v>0.18374145372563358</v>
      </c>
      <c r="O9" s="3"/>
      <c r="P9" s="3">
        <f>J28</f>
        <v>8.3629661099161368E-2</v>
      </c>
    </row>
    <row r="10" spans="2:16">
      <c r="C10" t="s">
        <v>84</v>
      </c>
      <c r="H10" s="7">
        <f>Historical!R30</f>
        <v>544243</v>
      </c>
      <c r="J10" s="7">
        <f>Historical!T30</f>
        <v>1195748</v>
      </c>
      <c r="M10" t="str">
        <f>B31</f>
        <v>Paid Losses to Liquid Assets</v>
      </c>
      <c r="N10" s="3">
        <f>H36</f>
        <v>1.369568716799366</v>
      </c>
      <c r="O10" s="3"/>
      <c r="P10" s="3">
        <f>J36</f>
        <v>0.83689393770980147</v>
      </c>
    </row>
    <row r="11" spans="2:16" ht="15" thickBot="1">
      <c r="M11" t="str">
        <f>B39</f>
        <v>Change in Premiums</v>
      </c>
      <c r="N11" s="3">
        <f>H44</f>
        <v>0.57291243945927062</v>
      </c>
      <c r="O11" s="3"/>
      <c r="P11" s="31"/>
    </row>
    <row r="12" spans="2:16" ht="15.5" thickTop="1" thickBot="1">
      <c r="C12" t="s">
        <v>85</v>
      </c>
      <c r="H12" s="64">
        <f>H9/H10</f>
        <v>1.1506808539567803</v>
      </c>
      <c r="J12" s="64">
        <f>J9/J10</f>
        <v>0.53969147345427293</v>
      </c>
      <c r="M12" t="str">
        <f>B47</f>
        <v>Change in Surplus</v>
      </c>
      <c r="N12" s="3">
        <f>H52</f>
        <v>1.1970847580951891</v>
      </c>
      <c r="O12" s="3"/>
      <c r="P12" s="31"/>
    </row>
    <row r="13" spans="2:16" ht="15.5" thickTop="1" thickBot="1">
      <c r="C13" t="s">
        <v>109</v>
      </c>
      <c r="G13" s="4"/>
      <c r="H13" s="65">
        <f>'Setup 2'!I87</f>
        <v>0</v>
      </c>
      <c r="I13" s="67" t="s">
        <v>211</v>
      </c>
      <c r="J13" s="66">
        <f>'Setup 2'!K87</f>
        <v>9</v>
      </c>
      <c r="M13" t="str">
        <f>B55</f>
        <v>One Year Reserve Development to Surplus</v>
      </c>
      <c r="N13" s="3">
        <f>H60</f>
        <v>0.21509693280391295</v>
      </c>
      <c r="O13" s="3"/>
      <c r="P13" s="31"/>
    </row>
    <row r="14" spans="2:16" ht="15" thickTop="1">
      <c r="M14" t="str">
        <f>B63</f>
        <v>Investment Yield on Invested Assets</v>
      </c>
      <c r="N14" s="3">
        <f>H68</f>
        <v>0.12763416341597411</v>
      </c>
      <c r="O14" s="3"/>
      <c r="P14" s="3">
        <f>J68</f>
        <v>8.6247269491565109E-2</v>
      </c>
    </row>
    <row r="15" spans="2:16">
      <c r="B15" s="22" t="s">
        <v>116</v>
      </c>
      <c r="M15" t="str">
        <f>B71</f>
        <v>Investment Yield on Underwriting Income</v>
      </c>
      <c r="N15" s="3">
        <f>H76</f>
        <v>7.3960581471737202E-2</v>
      </c>
      <c r="O15" s="3"/>
      <c r="P15" s="3">
        <f>J76</f>
        <v>6.6788764100245965E-2</v>
      </c>
    </row>
    <row r="16" spans="2:16">
      <c r="M16" t="str">
        <f>B79</f>
        <v>One Year Change in Reserve to Surplus</v>
      </c>
      <c r="N16" s="3">
        <f>H85</f>
        <v>0.21509693280391295</v>
      </c>
      <c r="O16" s="3"/>
      <c r="P16" s="31"/>
    </row>
    <row r="17" spans="2:16">
      <c r="C17" t="s">
        <v>87</v>
      </c>
      <c r="H17" s="7">
        <f>Historical!H19</f>
        <v>1170493</v>
      </c>
      <c r="J17" s="7">
        <f>Historical!J19</f>
        <v>1841083</v>
      </c>
      <c r="M17" t="str">
        <f>B88</f>
        <v>Liabilities to Liquid Assets</v>
      </c>
      <c r="N17" s="3">
        <f>H93</f>
        <v>6.7053331517230275</v>
      </c>
      <c r="O17" s="3"/>
      <c r="P17" s="3">
        <f>J93</f>
        <v>4.9641790602375711</v>
      </c>
    </row>
    <row r="18" spans="2:16">
      <c r="C18" t="s">
        <v>84</v>
      </c>
      <c r="H18" s="7">
        <f>Historical!R30</f>
        <v>544243</v>
      </c>
      <c r="J18" s="7">
        <f>Historical!T30</f>
        <v>1195748</v>
      </c>
      <c r="M18" t="str">
        <f>B96</f>
        <v>Loss and LAE to Net Premiums Earned</v>
      </c>
      <c r="N18" s="3">
        <f>H101</f>
        <v>0.14389663159027863</v>
      </c>
      <c r="O18" s="3"/>
      <c r="P18" s="3">
        <f>J101</f>
        <v>0.12492809938498156</v>
      </c>
    </row>
    <row r="19" spans="2:16" ht="15" thickBot="1">
      <c r="M19" t="str">
        <f>B104</f>
        <v>Underwriting Expense to Net Premiums Earned</v>
      </c>
      <c r="N19" s="3">
        <f>H109</f>
        <v>5.3703866661312799E-2</v>
      </c>
      <c r="O19" s="3"/>
      <c r="P19" s="3">
        <f>J109</f>
        <v>3.6368811183417588E-2</v>
      </c>
    </row>
    <row r="20" spans="2:16" ht="15.5" thickTop="1" thickBot="1">
      <c r="C20" t="s">
        <v>85</v>
      </c>
      <c r="H20" s="18">
        <f>H17/H18</f>
        <v>2.1506808539567803</v>
      </c>
      <c r="J20" s="18">
        <f>J17/J18</f>
        <v>1.539691473454273</v>
      </c>
      <c r="M20" t="str">
        <f>B112</f>
        <v>Policyholder Dividend to Net Premiums Earned</v>
      </c>
      <c r="N20" s="3">
        <f>H117</f>
        <v>0</v>
      </c>
      <c r="O20" s="3"/>
      <c r="P20" s="3">
        <f>J117</f>
        <v>0</v>
      </c>
    </row>
    <row r="21" spans="2:16" ht="15.5" thickTop="1" thickBot="1">
      <c r="C21" t="s">
        <v>109</v>
      </c>
      <c r="H21" s="65">
        <f>'Setup 2'!I88</f>
        <v>0</v>
      </c>
      <c r="I21" s="67" t="s">
        <v>211</v>
      </c>
      <c r="J21" s="66">
        <f>'Setup 2'!K88</f>
        <v>3</v>
      </c>
      <c r="M21" t="str">
        <f>B120</f>
        <v>Combined Ratio</v>
      </c>
      <c r="N21" s="3">
        <f>H126</f>
        <v>0.19760049825159143</v>
      </c>
      <c r="O21" s="3"/>
      <c r="P21" s="3">
        <f>J126</f>
        <v>0.16129691056839915</v>
      </c>
    </row>
    <row r="22" spans="2:16" ht="15" thickTop="1">
      <c r="M22" t="str">
        <f>B129</f>
        <v>Net Investment Income to Net Premiums Earned</v>
      </c>
      <c r="N22" s="3">
        <f>H134</f>
        <v>5.9345933721944515E-2</v>
      </c>
      <c r="O22" s="3"/>
      <c r="P22" s="3">
        <f>J134</f>
        <v>5.6015942790194687E-2</v>
      </c>
    </row>
    <row r="23" spans="2:16">
      <c r="B23" s="6" t="s">
        <v>242</v>
      </c>
      <c r="M23" t="str">
        <f>B137</f>
        <v>Operating Ratio</v>
      </c>
      <c r="N23" s="3">
        <f>H142</f>
        <v>0.13825456452964691</v>
      </c>
      <c r="O23" s="3"/>
      <c r="P23" s="3">
        <f>J142</f>
        <v>0.10528096777820446</v>
      </c>
    </row>
    <row r="24" spans="2:16">
      <c r="M24" t="str">
        <f>B145</f>
        <v>Overall Liquidity</v>
      </c>
      <c r="N24" s="3">
        <f>H150</f>
        <v>2.0050358622829241</v>
      </c>
      <c r="O24" s="3"/>
      <c r="P24" s="3">
        <f>J150</f>
        <v>2.7849356108497996</v>
      </c>
    </row>
    <row r="25" spans="2:16">
      <c r="C25" t="s">
        <v>121</v>
      </c>
      <c r="H25" s="7">
        <f>Historical!AB9</f>
        <v>100000</v>
      </c>
      <c r="I25" s="7">
        <f>Historical!AC9</f>
        <v>0</v>
      </c>
      <c r="J25" s="7">
        <f>Historical!AD9</f>
        <v>100000</v>
      </c>
      <c r="M25" t="str">
        <f>B153</f>
        <v>Underwriting Cash Flow</v>
      </c>
      <c r="N25" s="28">
        <f>H161</f>
        <v>939203</v>
      </c>
      <c r="O25" s="28"/>
      <c r="P25" s="28">
        <f>J161</f>
        <v>1544122</v>
      </c>
    </row>
    <row r="26" spans="2:16">
      <c r="C26" t="s">
        <v>84</v>
      </c>
      <c r="H26" s="7">
        <f>Historical!R30</f>
        <v>544243</v>
      </c>
      <c r="I26" s="7">
        <f>Historical!S30</f>
        <v>0</v>
      </c>
      <c r="J26" s="7">
        <f>Historical!T30</f>
        <v>1195748</v>
      </c>
      <c r="M26" t="str">
        <f>B164</f>
        <v>Operating Cash Flow</v>
      </c>
      <c r="N26" s="28">
        <f>H170</f>
        <v>939203</v>
      </c>
      <c r="O26" s="28"/>
      <c r="P26" s="28">
        <f>J170</f>
        <v>1544122</v>
      </c>
    </row>
    <row r="27" spans="2:16" ht="15" thickBot="1">
      <c r="M27" t="str">
        <f>B173</f>
        <v>Net Income to Net Premiums Written</v>
      </c>
      <c r="N27" s="3">
        <f>H178</f>
        <v>0.86174543547035309</v>
      </c>
      <c r="O27" s="3"/>
      <c r="P27" s="3">
        <f>J178</f>
        <v>0.8947190322217955</v>
      </c>
    </row>
    <row r="28" spans="2:16" ht="15.5" thickTop="1" thickBot="1">
      <c r="C28" t="s">
        <v>85</v>
      </c>
      <c r="H28" s="18">
        <f>H25/H26</f>
        <v>0.18374145372563358</v>
      </c>
      <c r="J28" s="18">
        <f>J25/J26</f>
        <v>8.3629661099161368E-2</v>
      </c>
    </row>
    <row r="29" spans="2:16" ht="15.5" thickTop="1" thickBot="1">
      <c r="C29" t="s">
        <v>109</v>
      </c>
      <c r="H29" s="65">
        <f>'Setup 2'!I89</f>
        <v>0</v>
      </c>
      <c r="I29" s="67" t="s">
        <v>211</v>
      </c>
      <c r="J29" s="66">
        <f>'Setup 2'!K89</f>
        <v>0.25</v>
      </c>
    </row>
    <row r="30" spans="2:16" ht="15" thickTop="1">
      <c r="H30" s="20"/>
      <c r="J30" s="20"/>
    </row>
    <row r="31" spans="2:16">
      <c r="B31" s="22" t="s">
        <v>48</v>
      </c>
    </row>
    <row r="33" spans="2:10">
      <c r="C33" t="s">
        <v>184</v>
      </c>
      <c r="H33" s="7">
        <f>Historical!H24</f>
        <v>110605</v>
      </c>
      <c r="I33" s="7">
        <f>Historical!I24</f>
        <v>0</v>
      </c>
      <c r="J33" s="7">
        <f>Historical!J24</f>
        <v>112938</v>
      </c>
    </row>
    <row r="34" spans="2:10">
      <c r="C34" t="s">
        <v>37</v>
      </c>
      <c r="H34" s="7">
        <f>(Historical!R9+Historical!R10)</f>
        <v>80759</v>
      </c>
      <c r="I34" s="7">
        <f>(Historical!S9+Historical!S10)</f>
        <v>0</v>
      </c>
      <c r="J34" s="7">
        <f>(Historical!T9+Historical!T10)</f>
        <v>134949</v>
      </c>
    </row>
    <row r="35" spans="2:10" ht="15" thickBot="1"/>
    <row r="36" spans="2:10" ht="15.5" thickTop="1" thickBot="1">
      <c r="C36" t="s">
        <v>85</v>
      </c>
      <c r="H36" s="18">
        <f>H33/H34</f>
        <v>1.369568716799366</v>
      </c>
      <c r="I36" s="20"/>
      <c r="J36" s="18">
        <f>J33/J34</f>
        <v>0.83689393770980147</v>
      </c>
    </row>
    <row r="37" spans="2:10" ht="15.5" thickTop="1" thickBot="1">
      <c r="C37" t="s">
        <v>109</v>
      </c>
      <c r="G37" s="21"/>
      <c r="H37" s="65">
        <f>'Setup 2'!I90</f>
        <v>0</v>
      </c>
      <c r="I37" s="67" t="s">
        <v>211</v>
      </c>
      <c r="J37" s="66">
        <f>'Setup 2'!K90</f>
        <v>1.2</v>
      </c>
    </row>
    <row r="38" spans="2:10" ht="15" thickTop="1"/>
    <row r="39" spans="2:10">
      <c r="B39" s="22" t="s">
        <v>117</v>
      </c>
    </row>
    <row r="41" spans="2:10">
      <c r="C41" t="str">
        <f>"Net Premiums Written " &amp; '1-Start'!C9</f>
        <v>Net Premiums Written 2017</v>
      </c>
      <c r="H41" s="7">
        <f>Historical!H19</f>
        <v>1170493</v>
      </c>
    </row>
    <row r="42" spans="2:10">
      <c r="C42" t="str">
        <f>"Net Premiums Written " &amp;'1-Start'!D9</f>
        <v>Net Premiums Written 2018</v>
      </c>
      <c r="H42" s="7">
        <f>Historical!J19</f>
        <v>1841083</v>
      </c>
    </row>
    <row r="43" spans="2:10" ht="15" thickBot="1"/>
    <row r="44" spans="2:10" ht="15.5" thickTop="1" thickBot="1">
      <c r="C44" t="s">
        <v>85</v>
      </c>
      <c r="H44" s="18">
        <f>(H42-H41)/H41</f>
        <v>0.57291243945927062</v>
      </c>
      <c r="J44" s="19"/>
    </row>
    <row r="45" spans="2:10" ht="15.5" thickTop="1" thickBot="1">
      <c r="C45" t="s">
        <v>109</v>
      </c>
      <c r="G45" s="21"/>
      <c r="H45" s="65">
        <f>'Setup 2'!I91</f>
        <v>-0.33</v>
      </c>
      <c r="I45" s="67" t="s">
        <v>211</v>
      </c>
      <c r="J45" s="66">
        <f>'Setup 2'!K91</f>
        <v>0.33</v>
      </c>
    </row>
    <row r="46" spans="2:10" ht="15" thickTop="1"/>
    <row r="47" spans="2:10">
      <c r="B47" s="22" t="s">
        <v>118</v>
      </c>
    </row>
    <row r="49" spans="2:10">
      <c r="C49" t="str">
        <f>"Policyholders Surplus as of " &amp; '1-Start'!C11</f>
        <v>Policyholders Surplus as of 42735</v>
      </c>
      <c r="H49" s="7">
        <f>Historical!R30</f>
        <v>544243</v>
      </c>
    </row>
    <row r="50" spans="2:10">
      <c r="C50" t="str">
        <f>"Policyholders Surplus as of " &amp; '1-Start'!D11</f>
        <v>Policyholders Surplus as of 43100</v>
      </c>
      <c r="H50" s="7">
        <f>Historical!T30</f>
        <v>1195748</v>
      </c>
    </row>
    <row r="51" spans="2:10" ht="15" thickBot="1"/>
    <row r="52" spans="2:10" ht="15.5" thickTop="1" thickBot="1">
      <c r="C52" t="s">
        <v>85</v>
      </c>
      <c r="H52" s="18">
        <f>(H50-H49)/H49</f>
        <v>1.1970847580951891</v>
      </c>
      <c r="J52" s="19"/>
    </row>
    <row r="53" spans="2:10" ht="15.5" thickTop="1" thickBot="1">
      <c r="C53" t="s">
        <v>109</v>
      </c>
      <c r="H53" s="65">
        <f>'Setup 2'!I92</f>
        <v>-0.1</v>
      </c>
      <c r="I53" s="67" t="s">
        <v>211</v>
      </c>
      <c r="J53" s="66">
        <f>'Setup 2'!K92</f>
        <v>0.5</v>
      </c>
    </row>
    <row r="54" spans="2:10" ht="15" thickTop="1"/>
    <row r="55" spans="2:10">
      <c r="B55" s="22" t="s">
        <v>119</v>
      </c>
    </row>
    <row r="57" spans="2:10">
      <c r="C57" t="s">
        <v>83</v>
      </c>
      <c r="H57" s="7">
        <f>Historical!T24-Historical!R24</f>
        <v>117065</v>
      </c>
    </row>
    <row r="58" spans="2:10">
      <c r="C58" t="s">
        <v>84</v>
      </c>
      <c r="H58" s="7">
        <f>Historical!R30</f>
        <v>544243</v>
      </c>
    </row>
    <row r="59" spans="2:10" ht="15" thickBot="1"/>
    <row r="60" spans="2:10" ht="15.5" thickTop="1" thickBot="1">
      <c r="C60" t="s">
        <v>85</v>
      </c>
      <c r="H60" s="18">
        <f>H57/H58</f>
        <v>0.21509693280391295</v>
      </c>
      <c r="J60" s="19"/>
    </row>
    <row r="61" spans="2:10" ht="15.5" thickTop="1" thickBot="1">
      <c r="C61" t="s">
        <v>109</v>
      </c>
      <c r="H61" s="65">
        <f>'Setup 2'!I94</f>
        <v>0</v>
      </c>
      <c r="I61" s="67" t="s">
        <v>211</v>
      </c>
      <c r="J61" s="66">
        <f>'Setup 2'!K94</f>
        <v>0.2</v>
      </c>
    </row>
    <row r="62" spans="2:10" ht="15" thickTop="1"/>
    <row r="63" spans="2:10">
      <c r="B63" s="6" t="s">
        <v>280</v>
      </c>
    </row>
    <row r="65" spans="2:10">
      <c r="C65" t="s">
        <v>122</v>
      </c>
      <c r="H65" s="7">
        <f>Historical!H45</f>
        <v>69464</v>
      </c>
      <c r="J65" s="7">
        <f>Historical!J45</f>
        <v>103130</v>
      </c>
    </row>
    <row r="66" spans="2:10">
      <c r="C66" t="s">
        <v>84</v>
      </c>
      <c r="H66" s="7">
        <f>Historical!R30</f>
        <v>544243</v>
      </c>
      <c r="J66" s="7">
        <f>Historical!T30</f>
        <v>1195748</v>
      </c>
    </row>
    <row r="67" spans="2:10" ht="15" thickBot="1"/>
    <row r="68" spans="2:10" ht="15.5" thickTop="1" thickBot="1">
      <c r="C68" t="s">
        <v>85</v>
      </c>
      <c r="H68" s="18">
        <f>H65/H66</f>
        <v>0.12763416341597411</v>
      </c>
      <c r="J68" s="18">
        <f>J65/J66</f>
        <v>8.6247269491565109E-2</v>
      </c>
    </row>
    <row r="69" spans="2:10" ht="15.5" thickTop="1" thickBot="1">
      <c r="C69" t="s">
        <v>109</v>
      </c>
      <c r="H69" s="65">
        <f>'Setup 2'!I95</f>
        <v>0.03</v>
      </c>
      <c r="I69" s="67" t="s">
        <v>211</v>
      </c>
      <c r="J69" s="66">
        <f>'Setup 2'!K95</f>
        <v>6.5000000000000002E-2</v>
      </c>
    </row>
    <row r="70" spans="2:10" ht="15" thickTop="1"/>
    <row r="71" spans="2:10">
      <c r="B71" s="22" t="s">
        <v>124</v>
      </c>
    </row>
    <row r="73" spans="2:10">
      <c r="C73" t="s">
        <v>126</v>
      </c>
      <c r="H73" s="7">
        <f>Historical!H45</f>
        <v>69464</v>
      </c>
      <c r="J73" s="7">
        <f>Historical!J45</f>
        <v>103130</v>
      </c>
    </row>
    <row r="74" spans="2:10">
      <c r="C74" t="s">
        <v>54</v>
      </c>
      <c r="H74" s="7">
        <f>Historical!H41</f>
        <v>939203</v>
      </c>
      <c r="J74" s="7">
        <f>Historical!J41</f>
        <v>1544122</v>
      </c>
    </row>
    <row r="75" spans="2:10" ht="15" thickBot="1"/>
    <row r="76" spans="2:10" ht="15.5" thickTop="1" thickBot="1">
      <c r="C76" t="s">
        <v>85</v>
      </c>
      <c r="H76" s="18">
        <f>H73/H74</f>
        <v>7.3960581471737202E-2</v>
      </c>
      <c r="J76" s="18">
        <f>J73/J74</f>
        <v>6.6788764100245965E-2</v>
      </c>
    </row>
    <row r="77" spans="2:10" ht="15.5" thickTop="1" thickBot="1">
      <c r="C77" t="s">
        <v>109</v>
      </c>
      <c r="H77" s="65">
        <f>'Setup 2'!I96</f>
        <v>-0.05</v>
      </c>
      <c r="I77" s="67" t="s">
        <v>211</v>
      </c>
      <c r="J77" s="66">
        <f>'Setup 2'!K96</f>
        <v>0.05</v>
      </c>
    </row>
    <row r="78" spans="2:10" ht="15" thickTop="1"/>
    <row r="79" spans="2:10">
      <c r="B79" s="22" t="s">
        <v>127</v>
      </c>
    </row>
    <row r="81" spans="2:10">
      <c r="C81" t="str">
        <f>"Loss Reserves as of " &amp; Historical!R7</f>
        <v>Loss Reserves as of 42735</v>
      </c>
      <c r="H81" s="7">
        <f>Historical!R24</f>
        <v>132768</v>
      </c>
      <c r="J81" s="25">
        <f>Historical!J77</f>
        <v>0</v>
      </c>
    </row>
    <row r="82" spans="2:10">
      <c r="C82" t="str">
        <f>"Loss Reserves as of " &amp; Historical!T7</f>
        <v>Loss Reserves as of 43100</v>
      </c>
      <c r="H82" s="7">
        <f>Historical!T24</f>
        <v>249833</v>
      </c>
      <c r="J82" s="25">
        <f>Historical!T89</f>
        <v>0</v>
      </c>
    </row>
    <row r="83" spans="2:10">
      <c r="C83" t="s">
        <v>84</v>
      </c>
      <c r="H83" s="7">
        <f>Historical!R30</f>
        <v>544243</v>
      </c>
      <c r="J83" s="25">
        <f>Historical!T90</f>
        <v>0</v>
      </c>
    </row>
    <row r="84" spans="2:10" ht="15" thickBot="1"/>
    <row r="85" spans="2:10" ht="15.5" thickTop="1" thickBot="1">
      <c r="C85" t="s">
        <v>85</v>
      </c>
      <c r="H85" s="18">
        <f>(H82-H81)/H83</f>
        <v>0.21509693280391295</v>
      </c>
      <c r="J85" s="26" t="e">
        <f>J81/J82</f>
        <v>#DIV/0!</v>
      </c>
    </row>
    <row r="86" spans="2:10" ht="15.5" thickTop="1" thickBot="1">
      <c r="C86" t="s">
        <v>109</v>
      </c>
      <c r="H86" s="65">
        <f>'Setup 2'!I97</f>
        <v>0</v>
      </c>
      <c r="I86" s="67" t="s">
        <v>211</v>
      </c>
      <c r="J86" s="66">
        <f>'Setup 2'!K97</f>
        <v>0.1</v>
      </c>
    </row>
    <row r="87" spans="2:10" ht="15" thickTop="1"/>
    <row r="88" spans="2:10">
      <c r="B88" s="22" t="s">
        <v>128</v>
      </c>
    </row>
    <row r="90" spans="2:10">
      <c r="C90" t="s">
        <v>204</v>
      </c>
      <c r="H90" s="7">
        <f>Historical!R28</f>
        <v>541516</v>
      </c>
      <c r="J90" s="7">
        <f>Historical!T28</f>
        <v>669911</v>
      </c>
    </row>
    <row r="91" spans="2:10">
      <c r="C91" t="s">
        <v>129</v>
      </c>
      <c r="H91" s="7">
        <f>Historical!R9+Historical!R10</f>
        <v>80759</v>
      </c>
      <c r="J91" s="7">
        <f>Historical!T9+Historical!T10</f>
        <v>134949</v>
      </c>
    </row>
    <row r="92" spans="2:10" ht="15" thickBot="1"/>
    <row r="93" spans="2:10" ht="15.5" thickTop="1" thickBot="1">
      <c r="C93" t="s">
        <v>85</v>
      </c>
      <c r="H93" s="18">
        <f>H90/H91</f>
        <v>6.7053331517230275</v>
      </c>
      <c r="J93" s="18">
        <f>J90/J91</f>
        <v>4.9641790602375711</v>
      </c>
    </row>
    <row r="94" spans="2:10" ht="15.5" thickTop="1" thickBot="1">
      <c r="C94" t="s">
        <v>109</v>
      </c>
      <c r="H94" s="65">
        <f>'Setup 2'!I98</f>
        <v>0</v>
      </c>
      <c r="I94" s="67" t="s">
        <v>211</v>
      </c>
      <c r="J94" s="66">
        <f>'Setup 2'!K98</f>
        <v>1</v>
      </c>
    </row>
    <row r="95" spans="2:10" ht="15" thickTop="1"/>
    <row r="96" spans="2:10">
      <c r="B96" s="22" t="s">
        <v>73</v>
      </c>
    </row>
    <row r="98" spans="2:10">
      <c r="C98" t="s">
        <v>130</v>
      </c>
      <c r="H98" s="7">
        <f>Historical!H27</f>
        <v>168430</v>
      </c>
      <c r="J98" s="7">
        <f>Historical!J27</f>
        <v>230003</v>
      </c>
    </row>
    <row r="99" spans="2:10">
      <c r="C99" t="s">
        <v>131</v>
      </c>
      <c r="H99" s="7">
        <f>Historical!H19</f>
        <v>1170493</v>
      </c>
      <c r="J99" s="7">
        <f>Historical!J19</f>
        <v>1841083</v>
      </c>
    </row>
    <row r="100" spans="2:10" ht="15" thickBot="1"/>
    <row r="101" spans="2:10" ht="15.5" thickTop="1" thickBot="1">
      <c r="C101" t="s">
        <v>85</v>
      </c>
      <c r="H101" s="18">
        <f>H98/H99</f>
        <v>0.14389663159027863</v>
      </c>
      <c r="J101" s="18">
        <f>J98/J99</f>
        <v>0.12492809938498156</v>
      </c>
    </row>
    <row r="102" spans="2:10" ht="15.5" thickTop="1" thickBot="1">
      <c r="C102" t="s">
        <v>109</v>
      </c>
      <c r="H102" s="65">
        <f>'Setup 2'!I99</f>
        <v>0</v>
      </c>
      <c r="I102" s="67" t="s">
        <v>211</v>
      </c>
      <c r="J102" s="66">
        <f>'Setup 2'!K99</f>
        <v>0.7</v>
      </c>
    </row>
    <row r="103" spans="2:10" ht="15" thickTop="1"/>
    <row r="104" spans="2:10">
      <c r="B104" s="22" t="s">
        <v>132</v>
      </c>
    </row>
    <row r="106" spans="2:10">
      <c r="C106" t="s">
        <v>133</v>
      </c>
      <c r="H106" s="7">
        <f>Historical!H39</f>
        <v>62860</v>
      </c>
      <c r="J106" s="7">
        <f>Historical!J39</f>
        <v>66958</v>
      </c>
    </row>
    <row r="107" spans="2:10">
      <c r="C107" t="s">
        <v>131</v>
      </c>
      <c r="H107" s="7">
        <f>Historical!H19</f>
        <v>1170493</v>
      </c>
      <c r="J107" s="7">
        <f>Historical!J19</f>
        <v>1841083</v>
      </c>
    </row>
    <row r="108" spans="2:10" ht="15" thickBot="1"/>
    <row r="109" spans="2:10" ht="15.5" thickTop="1" thickBot="1">
      <c r="C109" t="s">
        <v>85</v>
      </c>
      <c r="H109" s="18">
        <f>H106/H107</f>
        <v>5.3703866661312799E-2</v>
      </c>
      <c r="J109" s="18">
        <f>J106/J107</f>
        <v>3.6368811183417588E-2</v>
      </c>
    </row>
    <row r="110" spans="2:10" ht="15.5" thickTop="1" thickBot="1">
      <c r="C110" t="s">
        <v>109</v>
      </c>
      <c r="H110" s="65">
        <f>'Setup 2'!I100</f>
        <v>0</v>
      </c>
      <c r="I110" s="67" t="s">
        <v>211</v>
      </c>
      <c r="J110" s="66">
        <f>'Setup 2'!K100</f>
        <v>0.1</v>
      </c>
    </row>
    <row r="111" spans="2:10" ht="15" thickTop="1"/>
    <row r="112" spans="2:10">
      <c r="B112" s="22" t="s">
        <v>134</v>
      </c>
    </row>
    <row r="114" spans="2:10">
      <c r="C114" t="s">
        <v>55</v>
      </c>
      <c r="H114" s="7">
        <f>Historical!H57</f>
        <v>0</v>
      </c>
      <c r="J114" s="7">
        <f>Historical!J57</f>
        <v>0</v>
      </c>
    </row>
    <row r="115" spans="2:10">
      <c r="C115" t="s">
        <v>131</v>
      </c>
      <c r="H115" s="7">
        <f>Historical!H19</f>
        <v>1170493</v>
      </c>
      <c r="J115" s="7">
        <f>Historical!J19</f>
        <v>1841083</v>
      </c>
    </row>
    <row r="116" spans="2:10" ht="15" thickBot="1"/>
    <row r="117" spans="2:10" ht="15.5" thickTop="1" thickBot="1">
      <c r="C117" t="s">
        <v>85</v>
      </c>
      <c r="H117" s="18">
        <f>H114/H115</f>
        <v>0</v>
      </c>
      <c r="J117" s="18">
        <f>J114/J115</f>
        <v>0</v>
      </c>
    </row>
    <row r="118" spans="2:10" ht="15.5" thickTop="1" thickBot="1">
      <c r="C118" t="s">
        <v>109</v>
      </c>
      <c r="H118" s="65">
        <f>'Setup 2'!I101</f>
        <v>0</v>
      </c>
      <c r="I118" s="67" t="s">
        <v>211</v>
      </c>
      <c r="J118" s="66">
        <f>'Setup 2'!K101</f>
        <v>0.1</v>
      </c>
    </row>
    <row r="119" spans="2:10" ht="15" thickTop="1"/>
    <row r="120" spans="2:10">
      <c r="B120" s="22" t="s">
        <v>135</v>
      </c>
    </row>
    <row r="122" spans="2:10">
      <c r="C122" t="s">
        <v>136</v>
      </c>
      <c r="H122" s="3">
        <f>H101</f>
        <v>0.14389663159027863</v>
      </c>
      <c r="J122" s="3">
        <f>J101</f>
        <v>0.12492809938498156</v>
      </c>
    </row>
    <row r="123" spans="2:10">
      <c r="C123" t="s">
        <v>137</v>
      </c>
      <c r="H123" s="3">
        <f>H109</f>
        <v>5.3703866661312799E-2</v>
      </c>
      <c r="J123" s="3">
        <f>J109</f>
        <v>3.6368811183417588E-2</v>
      </c>
    </row>
    <row r="124" spans="2:10">
      <c r="C124" t="s">
        <v>138</v>
      </c>
      <c r="H124" s="3">
        <f>H117</f>
        <v>0</v>
      </c>
      <c r="J124" s="3">
        <f>J117</f>
        <v>0</v>
      </c>
    </row>
    <row r="125" spans="2:10" ht="15" thickBot="1"/>
    <row r="126" spans="2:10" ht="15.5" thickTop="1" thickBot="1">
      <c r="C126" t="s">
        <v>85</v>
      </c>
      <c r="H126" s="18">
        <f>SUM(H122:H124)</f>
        <v>0.19760049825159143</v>
      </c>
      <c r="J126" s="18">
        <f>SUM(J122:J124)</f>
        <v>0.16129691056839915</v>
      </c>
    </row>
    <row r="127" spans="2:10" ht="15.5" thickTop="1" thickBot="1">
      <c r="C127" t="s">
        <v>109</v>
      </c>
      <c r="H127" s="65">
        <f>'Setup 2'!I102</f>
        <v>0</v>
      </c>
      <c r="I127" s="67" t="s">
        <v>211</v>
      </c>
      <c r="J127" s="66">
        <f>'Setup 2'!K102</f>
        <v>1</v>
      </c>
    </row>
    <row r="128" spans="2:10" ht="15" thickTop="1"/>
    <row r="129" spans="2:10">
      <c r="B129" s="22" t="s">
        <v>47</v>
      </c>
    </row>
    <row r="131" spans="2:10">
      <c r="C131" t="s">
        <v>195</v>
      </c>
      <c r="H131" s="7">
        <f>Historical!H48</f>
        <v>69464</v>
      </c>
      <c r="J131" s="7">
        <f>Historical!J48</f>
        <v>103130</v>
      </c>
    </row>
    <row r="132" spans="2:10">
      <c r="C132" t="s">
        <v>131</v>
      </c>
      <c r="H132" s="7">
        <f>Historical!H19</f>
        <v>1170493</v>
      </c>
      <c r="J132" s="7">
        <f>Historical!J19</f>
        <v>1841083</v>
      </c>
    </row>
    <row r="133" spans="2:10" ht="15" thickBot="1"/>
    <row r="134" spans="2:10" ht="15.5" thickTop="1" thickBot="1">
      <c r="C134" t="s">
        <v>85</v>
      </c>
      <c r="H134" s="18">
        <f>H131/H132</f>
        <v>5.9345933721944515E-2</v>
      </c>
      <c r="J134" s="18">
        <f>J131/J132</f>
        <v>5.6015942790194687E-2</v>
      </c>
    </row>
    <row r="135" spans="2:10" ht="15.5" thickTop="1" thickBot="1">
      <c r="C135" t="s">
        <v>109</v>
      </c>
      <c r="H135" s="65">
        <f>'Setup 2'!I103</f>
        <v>-0.05</v>
      </c>
      <c r="I135" s="67" t="s">
        <v>211</v>
      </c>
      <c r="J135" s="66">
        <f>'Setup 2'!K103</f>
        <v>0.05</v>
      </c>
    </row>
    <row r="136" spans="2:10" ht="15" thickTop="1"/>
    <row r="137" spans="2:10">
      <c r="B137" s="22" t="s">
        <v>114</v>
      </c>
    </row>
    <row r="139" spans="2:10">
      <c r="C139" t="s">
        <v>135</v>
      </c>
      <c r="H139" s="3">
        <f>H126</f>
        <v>0.19760049825159143</v>
      </c>
      <c r="J139" s="3">
        <f>J126</f>
        <v>0.16129691056839915</v>
      </c>
    </row>
    <row r="140" spans="2:10">
      <c r="C140" t="s">
        <v>46</v>
      </c>
      <c r="H140" s="3">
        <f>H134</f>
        <v>5.9345933721944515E-2</v>
      </c>
      <c r="J140" s="3">
        <f>J134</f>
        <v>5.6015942790194687E-2</v>
      </c>
    </row>
    <row r="141" spans="2:10" ht="15" thickBot="1"/>
    <row r="142" spans="2:10" ht="15.5" thickTop="1" thickBot="1">
      <c r="C142" t="s">
        <v>85</v>
      </c>
      <c r="H142" s="18">
        <f>H139-H140</f>
        <v>0.13825456452964691</v>
      </c>
      <c r="J142" s="18">
        <f>J139-J140</f>
        <v>0.10528096777820446</v>
      </c>
    </row>
    <row r="143" spans="2:10" ht="15.5" thickTop="1" thickBot="1">
      <c r="C143" t="s">
        <v>109</v>
      </c>
      <c r="H143" s="65">
        <f>'Setup 2'!I104</f>
        <v>0</v>
      </c>
      <c r="I143" s="67" t="s">
        <v>211</v>
      </c>
      <c r="J143" s="66">
        <f>'Setup 2'!K104</f>
        <v>0.5</v>
      </c>
    </row>
    <row r="144" spans="2:10" ht="15" thickTop="1"/>
    <row r="145" spans="2:10">
      <c r="B145" s="22" t="s">
        <v>38</v>
      </c>
    </row>
    <row r="147" spans="2:10">
      <c r="C147" t="s">
        <v>166</v>
      </c>
      <c r="H147" s="7">
        <f>Historical!R19</f>
        <v>1085759</v>
      </c>
      <c r="J147" s="7">
        <f>Historical!T19</f>
        <v>1865659</v>
      </c>
    </row>
    <row r="148" spans="2:10">
      <c r="C148" t="s">
        <v>167</v>
      </c>
      <c r="H148" s="7">
        <f>Historical!R28</f>
        <v>541516</v>
      </c>
      <c r="J148" s="7">
        <f>Historical!T28</f>
        <v>669911</v>
      </c>
    </row>
    <row r="149" spans="2:10" ht="15" thickBot="1"/>
    <row r="150" spans="2:10" ht="15.5" thickTop="1" thickBot="1">
      <c r="C150" t="s">
        <v>85</v>
      </c>
      <c r="H150" s="18">
        <f>H147/H148</f>
        <v>2.0050358622829241</v>
      </c>
      <c r="J150" s="18">
        <f>J147/J148</f>
        <v>2.7849356108497996</v>
      </c>
    </row>
    <row r="151" spans="2:10" ht="15.5" thickTop="1" thickBot="1">
      <c r="C151" t="s">
        <v>109</v>
      </c>
      <c r="H151" s="65">
        <f>'Setup 2'!I106</f>
        <v>1</v>
      </c>
      <c r="I151" s="67" t="s">
        <v>211</v>
      </c>
      <c r="J151" s="66">
        <f>'Setup 2'!K106</f>
        <v>9</v>
      </c>
    </row>
    <row r="152" spans="2:10" ht="15" thickTop="1"/>
    <row r="153" spans="2:10">
      <c r="B153" s="22" t="s">
        <v>39</v>
      </c>
    </row>
    <row r="155" spans="2:10">
      <c r="C155" t="s">
        <v>131</v>
      </c>
      <c r="H155" s="7">
        <f>Historical!H19</f>
        <v>1170493</v>
      </c>
      <c r="J155" s="7">
        <f>Historical!J19</f>
        <v>1841083</v>
      </c>
    </row>
    <row r="156" spans="2:10">
      <c r="C156" t="s">
        <v>40</v>
      </c>
    </row>
    <row r="157" spans="2:10">
      <c r="D157" t="s">
        <v>41</v>
      </c>
      <c r="H157" s="7">
        <f>Historical!H27</f>
        <v>168430</v>
      </c>
      <c r="J157" s="7">
        <f>Historical!J27</f>
        <v>230003</v>
      </c>
    </row>
    <row r="158" spans="2:10">
      <c r="D158" t="s">
        <v>42</v>
      </c>
      <c r="H158" s="7">
        <f>Historical!H39</f>
        <v>62860</v>
      </c>
      <c r="J158" s="7">
        <f>Historical!J39</f>
        <v>66958</v>
      </c>
    </row>
    <row r="159" spans="2:10">
      <c r="D159" t="s">
        <v>43</v>
      </c>
      <c r="H159" s="7">
        <f>Historical!H57</f>
        <v>0</v>
      </c>
      <c r="J159" s="7">
        <f>Historical!J57</f>
        <v>0</v>
      </c>
    </row>
    <row r="160" spans="2:10" ht="15" thickBot="1"/>
    <row r="161" spans="2:10" ht="15.5" thickTop="1" thickBot="1">
      <c r="C161" t="s">
        <v>39</v>
      </c>
      <c r="H161" s="27">
        <f>H155-H157-H158-H159</f>
        <v>939203</v>
      </c>
      <c r="J161" s="27">
        <f>J155-J157-J158-J159</f>
        <v>1544122</v>
      </c>
    </row>
    <row r="162" spans="2:10" ht="15.5" thickTop="1" thickBot="1">
      <c r="C162" t="s">
        <v>109</v>
      </c>
      <c r="H162" s="68">
        <f>'Setup 2'!I107</f>
        <v>100000</v>
      </c>
      <c r="I162" s="67" t="s">
        <v>211</v>
      </c>
      <c r="J162" s="69">
        <f>'Setup 2'!K107</f>
        <v>250000</v>
      </c>
    </row>
    <row r="163" spans="2:10" ht="15" thickTop="1">
      <c r="H163" s="20"/>
      <c r="J163" s="20"/>
    </row>
    <row r="164" spans="2:10">
      <c r="B164" s="22" t="s">
        <v>44</v>
      </c>
    </row>
    <row r="166" spans="2:10">
      <c r="C166" t="s">
        <v>39</v>
      </c>
      <c r="H166" s="7">
        <f>H161</f>
        <v>939203</v>
      </c>
      <c r="J166" s="7">
        <f>J161</f>
        <v>1544122</v>
      </c>
    </row>
    <row r="167" spans="2:10">
      <c r="C167" t="s">
        <v>40</v>
      </c>
    </row>
    <row r="168" spans="2:10">
      <c r="D168" t="s">
        <v>45</v>
      </c>
      <c r="H168" s="7">
        <f>Historical!H59</f>
        <v>0</v>
      </c>
      <c r="J168" s="7">
        <f>Historical!J59</f>
        <v>0</v>
      </c>
    </row>
    <row r="169" spans="2:10" ht="15" thickBot="1"/>
    <row r="170" spans="2:10" ht="15.5" thickTop="1" thickBot="1">
      <c r="C170" t="s">
        <v>44</v>
      </c>
      <c r="H170" s="27">
        <f>H166-H168</f>
        <v>939203</v>
      </c>
      <c r="J170" s="27">
        <f>J166-J168</f>
        <v>1544122</v>
      </c>
    </row>
    <row r="171" spans="2:10" ht="15.5" thickTop="1" thickBot="1">
      <c r="C171" t="s">
        <v>109</v>
      </c>
      <c r="H171" s="68">
        <f>Historical!R58</f>
        <v>939203</v>
      </c>
      <c r="I171" s="67" t="s">
        <v>211</v>
      </c>
      <c r="J171" s="69">
        <f>Historical!T58</f>
        <v>1544122</v>
      </c>
    </row>
    <row r="172" spans="2:10" ht="15" thickTop="1"/>
    <row r="173" spans="2:10">
      <c r="B173" s="22" t="s">
        <v>51</v>
      </c>
    </row>
    <row r="175" spans="2:10">
      <c r="C175" t="s">
        <v>162</v>
      </c>
      <c r="H175" s="7">
        <f>Historical!H61</f>
        <v>1008667</v>
      </c>
      <c r="J175" s="7">
        <f>Historical!J61</f>
        <v>1647252</v>
      </c>
    </row>
    <row r="176" spans="2:10">
      <c r="C176" t="s">
        <v>87</v>
      </c>
      <c r="H176" s="7">
        <f>Historical!H19</f>
        <v>1170493</v>
      </c>
      <c r="J176" s="7">
        <f>Historical!J19</f>
        <v>1841083</v>
      </c>
    </row>
    <row r="177" spans="3:10" ht="15" thickBot="1"/>
    <row r="178" spans="3:10" ht="15.5" thickTop="1" thickBot="1">
      <c r="C178" t="s">
        <v>85</v>
      </c>
      <c r="H178" s="18">
        <f>H175/H176</f>
        <v>0.86174543547035309</v>
      </c>
      <c r="J178" s="18">
        <f>J175/J176</f>
        <v>0.8947190322217955</v>
      </c>
    </row>
    <row r="179" spans="3:10" ht="15.5" thickTop="1" thickBot="1">
      <c r="C179" t="s">
        <v>109</v>
      </c>
      <c r="H179" s="65">
        <f>'Setup 2'!I109</f>
        <v>0.1</v>
      </c>
      <c r="I179" s="67" t="s">
        <v>211</v>
      </c>
      <c r="J179" s="66">
        <f>'Setup 2'!K109</f>
        <v>0.5</v>
      </c>
    </row>
    <row r="180" spans="3:10" ht="15" thickTop="1"/>
  </sheetData>
  <phoneticPr fontId="26" type="noConversion"/>
  <pageMargins left="0.75" right="0.75" top="1" bottom="1" header="0.5" footer="0.5"/>
  <rowBreaks count="4" manualBreakCount="4">
    <brk id="37" max="16383" man="1"/>
    <brk id="69" max="16383" man="1"/>
    <brk id="102" max="16383" man="1"/>
    <brk id="135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B4:AL1101"/>
  <sheetViews>
    <sheetView topLeftCell="R993" workbookViewId="0">
      <selection activeCell="Q26" sqref="Q26"/>
    </sheetView>
  </sheetViews>
  <sheetFormatPr defaultColWidth="8.81640625" defaultRowHeight="14.5"/>
  <cols>
    <col min="2" max="6" width="1.81640625" customWidth="1"/>
    <col min="7" max="7" width="23.81640625" customWidth="1"/>
    <col min="8" max="8" width="11.36328125" customWidth="1"/>
    <col min="9" max="9" width="14" style="7" bestFit="1" customWidth="1"/>
    <col min="10" max="10" width="1.81640625" customWidth="1"/>
    <col min="11" max="11" width="14" style="7" bestFit="1" customWidth="1"/>
    <col min="12" max="12" width="1.81640625" customWidth="1"/>
    <col min="13" max="13" width="14" style="7" bestFit="1" customWidth="1"/>
    <col min="14" max="14" width="1.81640625" customWidth="1"/>
    <col min="15" max="15" width="14" style="7" bestFit="1" customWidth="1"/>
    <col min="16" max="16" width="1.81640625" customWidth="1"/>
    <col min="17" max="17" width="14" style="7" bestFit="1" customWidth="1"/>
    <col min="18" max="18" width="11" bestFit="1" customWidth="1"/>
    <col min="19" max="23" width="1.81640625" customWidth="1"/>
    <col min="24" max="24" width="37.36328125" customWidth="1"/>
    <col min="25" max="25" width="15.1796875" style="7" bestFit="1" customWidth="1"/>
    <col min="26" max="26" width="1.81640625" customWidth="1"/>
    <col min="27" max="27" width="15.1796875" style="7" bestFit="1" customWidth="1"/>
    <col min="28" max="28" width="1.81640625" customWidth="1"/>
    <col min="29" max="29" width="15.1796875" style="7" bestFit="1" customWidth="1"/>
    <col min="30" max="30" width="1.81640625" customWidth="1"/>
    <col min="31" max="31" width="15.1796875" style="7" bestFit="1" customWidth="1"/>
    <col min="32" max="32" width="1.81640625" customWidth="1"/>
    <col min="33" max="33" width="12.81640625" style="7" bestFit="1" customWidth="1"/>
  </cols>
  <sheetData>
    <row r="4" spans="2:33" ht="26">
      <c r="B4" s="5" t="s">
        <v>198</v>
      </c>
      <c r="S4" s="5">
        <v>0</v>
      </c>
    </row>
    <row r="6" spans="2:33" ht="26">
      <c r="B6" s="5" t="s">
        <v>179</v>
      </c>
      <c r="O6" s="7" t="s">
        <v>284</v>
      </c>
      <c r="Q6" s="7" t="s">
        <v>304</v>
      </c>
      <c r="S6" s="5" t="s">
        <v>200</v>
      </c>
      <c r="AE6" s="7" t="s">
        <v>284</v>
      </c>
      <c r="AG6" s="7" t="s">
        <v>304</v>
      </c>
    </row>
    <row r="7" spans="2:33" ht="6.75" customHeight="1">
      <c r="B7" s="43"/>
      <c r="C7" s="32"/>
      <c r="D7" s="32"/>
      <c r="E7" s="32"/>
      <c r="F7" s="32"/>
      <c r="G7" s="32"/>
      <c r="H7" s="32"/>
      <c r="I7" s="25"/>
      <c r="J7" s="32"/>
      <c r="K7" s="25"/>
      <c r="L7" s="32"/>
      <c r="M7" s="25"/>
      <c r="N7" s="32"/>
      <c r="O7" s="25"/>
      <c r="P7" s="32"/>
      <c r="Q7" s="25"/>
      <c r="S7" s="43"/>
      <c r="T7" s="32"/>
      <c r="U7" s="32"/>
      <c r="V7" s="32"/>
      <c r="W7" s="32"/>
      <c r="X7" s="32"/>
      <c r="Y7" s="25"/>
      <c r="Z7" s="32"/>
      <c r="AA7" s="25"/>
      <c r="AB7" s="32"/>
      <c r="AC7" s="25"/>
      <c r="AD7" s="32"/>
      <c r="AE7" s="25"/>
      <c r="AF7" s="32"/>
      <c r="AG7" s="25"/>
    </row>
    <row r="8" spans="2:33" ht="17.25" customHeight="1">
      <c r="B8" s="5"/>
      <c r="S8" s="5"/>
    </row>
    <row r="9" spans="2:33" ht="15" thickBot="1">
      <c r="I9" s="33"/>
      <c r="J9" s="34"/>
      <c r="K9" s="33"/>
      <c r="L9" s="34"/>
      <c r="M9" s="35" t="s">
        <v>58</v>
      </c>
      <c r="N9" s="34"/>
      <c r="O9" s="33"/>
      <c r="P9" s="34"/>
      <c r="Q9" s="33"/>
      <c r="Y9" s="33"/>
      <c r="Z9" s="34"/>
      <c r="AA9" s="33"/>
      <c r="AB9" s="34"/>
      <c r="AC9" s="35" t="s">
        <v>59</v>
      </c>
      <c r="AD9" s="34"/>
      <c r="AE9" s="33"/>
      <c r="AF9" s="34"/>
      <c r="AG9" s="33"/>
    </row>
    <row r="10" spans="2:33">
      <c r="B10" s="6" t="s">
        <v>180</v>
      </c>
      <c r="I10" s="8">
        <v>2019</v>
      </c>
      <c r="J10" s="8"/>
      <c r="K10" s="8">
        <v>2020</v>
      </c>
      <c r="L10" s="8"/>
      <c r="M10" s="8">
        <v>2021</v>
      </c>
      <c r="N10" s="8"/>
      <c r="O10" s="8">
        <v>2022</v>
      </c>
      <c r="P10" s="8"/>
      <c r="Q10" s="8">
        <v>2023</v>
      </c>
      <c r="S10" s="6" t="s">
        <v>201</v>
      </c>
      <c r="Y10" s="10">
        <v>43465</v>
      </c>
      <c r="Z10" s="8"/>
      <c r="AA10" s="10">
        <v>43830</v>
      </c>
      <c r="AB10" s="8"/>
      <c r="AC10" s="10">
        <v>44196</v>
      </c>
      <c r="AD10" s="8"/>
      <c r="AE10" s="10">
        <v>44561</v>
      </c>
      <c r="AF10" s="8"/>
      <c r="AG10" s="10">
        <v>44926</v>
      </c>
    </row>
    <row r="12" spans="2:33">
      <c r="C12" t="s">
        <v>86</v>
      </c>
      <c r="I12" s="7">
        <v>652800</v>
      </c>
      <c r="K12" s="7">
        <v>694579.20000000007</v>
      </c>
      <c r="M12" s="7">
        <v>739032.26880000008</v>
      </c>
      <c r="O12" s="7">
        <v>786330.33400320017</v>
      </c>
      <c r="Q12" s="7">
        <v>836655.47537940508</v>
      </c>
      <c r="T12" t="s">
        <v>281</v>
      </c>
      <c r="Y12" s="7">
        <v>1658991.9833333334</v>
      </c>
      <c r="AA12" s="7">
        <v>2354445.1269666664</v>
      </c>
      <c r="AC12" s="7">
        <v>3146183.6893156664</v>
      </c>
      <c r="AE12" s="7">
        <v>4029634.4662680035</v>
      </c>
      <c r="AG12" s="7">
        <v>5009042.551865329</v>
      </c>
    </row>
    <row r="13" spans="2:33">
      <c r="C13" t="s">
        <v>181</v>
      </c>
      <c r="I13" s="7">
        <v>0</v>
      </c>
      <c r="K13" s="7">
        <v>0</v>
      </c>
      <c r="M13" s="7">
        <v>0</v>
      </c>
      <c r="O13" s="7">
        <v>0</v>
      </c>
      <c r="Q13" s="7">
        <v>0</v>
      </c>
      <c r="T13" t="s">
        <v>165</v>
      </c>
      <c r="Y13" s="7">
        <v>0</v>
      </c>
      <c r="AA13" s="7">
        <v>0</v>
      </c>
      <c r="AC13" s="7">
        <v>0</v>
      </c>
      <c r="AE13" s="7">
        <v>0</v>
      </c>
      <c r="AG13" s="7">
        <v>0</v>
      </c>
    </row>
    <row r="14" spans="2:33">
      <c r="C14" t="s">
        <v>110</v>
      </c>
      <c r="I14" s="7">
        <v>0</v>
      </c>
      <c r="K14" s="7">
        <v>0</v>
      </c>
      <c r="M14" s="7">
        <v>0</v>
      </c>
      <c r="O14" s="7">
        <v>0</v>
      </c>
      <c r="Q14" s="7">
        <v>0</v>
      </c>
      <c r="T14" t="s">
        <v>202</v>
      </c>
      <c r="Y14" s="7">
        <v>1725710</v>
      </c>
      <c r="AA14" s="7">
        <v>1725710</v>
      </c>
      <c r="AC14" s="7">
        <v>1725710</v>
      </c>
      <c r="AE14" s="7">
        <v>1725710</v>
      </c>
      <c r="AG14" s="7">
        <v>1725710</v>
      </c>
    </row>
    <row r="15" spans="2:33" ht="15" thickBot="1">
      <c r="C15" t="s">
        <v>125</v>
      </c>
      <c r="I15" s="54">
        <v>0</v>
      </c>
      <c r="K15" s="54">
        <v>0</v>
      </c>
      <c r="M15" s="54">
        <v>0</v>
      </c>
      <c r="O15" s="54">
        <v>0</v>
      </c>
      <c r="Q15" s="54">
        <v>0</v>
      </c>
      <c r="T15" t="s">
        <v>203</v>
      </c>
      <c r="Y15" s="54">
        <v>5000</v>
      </c>
      <c r="AA15" s="54">
        <v>5000</v>
      </c>
      <c r="AC15" s="54">
        <v>5000</v>
      </c>
      <c r="AE15" s="54">
        <v>5000</v>
      </c>
      <c r="AG15" s="54">
        <v>5000</v>
      </c>
    </row>
    <row r="16" spans="2:33" ht="15" thickTop="1"/>
    <row r="17" spans="2:38">
      <c r="C17" t="s">
        <v>182</v>
      </c>
      <c r="I17" s="7">
        <v>652800</v>
      </c>
      <c r="K17" s="7">
        <v>694579.20000000007</v>
      </c>
      <c r="M17" s="7">
        <v>739032.26880000008</v>
      </c>
      <c r="O17" s="7">
        <v>786330.33400320017</v>
      </c>
      <c r="Q17" s="7">
        <v>836655.47537940508</v>
      </c>
      <c r="T17" t="s">
        <v>166</v>
      </c>
      <c r="Y17" s="7">
        <v>3389701.9833333334</v>
      </c>
      <c r="AA17" s="7">
        <v>4085155.1269666664</v>
      </c>
      <c r="AC17" s="7">
        <v>4876893.6893156664</v>
      </c>
      <c r="AE17" s="7">
        <v>5760344.466268003</v>
      </c>
      <c r="AG17" s="7">
        <v>6739752.551865329</v>
      </c>
    </row>
    <row r="19" spans="2:38">
      <c r="B19" s="6" t="s">
        <v>183</v>
      </c>
      <c r="S19" s="6" t="s">
        <v>204</v>
      </c>
    </row>
    <row r="21" spans="2:38">
      <c r="C21" t="s">
        <v>184</v>
      </c>
      <c r="I21" s="7">
        <v>97973.226666666669</v>
      </c>
      <c r="K21" s="7">
        <v>97629.91333333333</v>
      </c>
      <c r="M21" s="7">
        <v>78598.28333333334</v>
      </c>
      <c r="O21" s="7">
        <v>71739.966666666674</v>
      </c>
      <c r="Q21" s="7">
        <v>68188.310000000012</v>
      </c>
      <c r="T21" t="s">
        <v>205</v>
      </c>
      <c r="Y21" s="7">
        <v>208193.10666666663</v>
      </c>
      <c r="AA21" s="7">
        <v>166896.52666666661</v>
      </c>
      <c r="AC21" s="7">
        <v>144631.5766666666</v>
      </c>
      <c r="AE21" s="7">
        <v>129224.94333333327</v>
      </c>
      <c r="AG21" s="7">
        <v>117369.9666666666</v>
      </c>
    </row>
    <row r="22" spans="2:38" ht="15" thickBot="1">
      <c r="C22" t="s">
        <v>185</v>
      </c>
      <c r="I22" s="54">
        <v>-41639.89333333337</v>
      </c>
      <c r="K22" s="54">
        <v>-41296.580000000016</v>
      </c>
      <c r="M22" s="54">
        <v>-22264.950000000012</v>
      </c>
      <c r="O22" s="54">
        <v>-15406.633333333331</v>
      </c>
      <c r="Q22" s="54">
        <v>-11854.976666666669</v>
      </c>
      <c r="T22" t="s">
        <v>206</v>
      </c>
      <c r="Y22" s="54">
        <v>420078</v>
      </c>
      <c r="AA22" s="54">
        <v>420078</v>
      </c>
      <c r="AC22" s="54">
        <v>420078</v>
      </c>
      <c r="AE22" s="54">
        <v>420078</v>
      </c>
      <c r="AG22" s="54">
        <v>420078</v>
      </c>
    </row>
    <row r="23" spans="2:38" ht="15" thickTop="1"/>
    <row r="24" spans="2:38">
      <c r="C24" t="s">
        <v>186</v>
      </c>
      <c r="I24" s="7">
        <v>56333.333333333299</v>
      </c>
      <c r="K24" s="7">
        <v>56333.333333333314</v>
      </c>
      <c r="M24" s="7">
        <v>56333.333333333328</v>
      </c>
      <c r="O24" s="7">
        <v>56333.333333333343</v>
      </c>
      <c r="Q24" s="7">
        <v>56333.333333333343</v>
      </c>
      <c r="T24" t="s">
        <v>167</v>
      </c>
      <c r="Y24" s="7">
        <v>628271.10666666669</v>
      </c>
      <c r="AA24" s="7">
        <v>586974.52666666661</v>
      </c>
      <c r="AC24" s="7">
        <v>564709.57666666666</v>
      </c>
      <c r="AE24" s="7">
        <v>549302.94333333324</v>
      </c>
      <c r="AG24" s="7">
        <v>537447.96666666656</v>
      </c>
    </row>
    <row r="26" spans="2:38">
      <c r="C26" t="s">
        <v>164</v>
      </c>
      <c r="I26" s="7">
        <v>596466.66666666674</v>
      </c>
      <c r="K26" s="7">
        <v>638245.8666666667</v>
      </c>
      <c r="M26" s="7">
        <v>682698.93546666671</v>
      </c>
      <c r="O26" s="7">
        <v>729997.0006698668</v>
      </c>
      <c r="Q26" s="7">
        <v>780322.14204607171</v>
      </c>
      <c r="S26" s="6" t="s">
        <v>169</v>
      </c>
      <c r="Y26" s="7">
        <v>2761430.8766666669</v>
      </c>
      <c r="AA26" s="7">
        <v>3498180.6003</v>
      </c>
      <c r="AC26" s="7">
        <v>4312184.1126489993</v>
      </c>
      <c r="AE26" s="7">
        <v>5211041.5229346696</v>
      </c>
      <c r="AG26" s="7">
        <v>6202304.5851986622</v>
      </c>
    </row>
    <row r="27" spans="2:38">
      <c r="S27" s="6"/>
    </row>
    <row r="28" spans="2:38" ht="6.75" customHeight="1">
      <c r="S28" s="32"/>
      <c r="T28" s="32"/>
      <c r="U28" s="32"/>
      <c r="V28" s="32"/>
      <c r="W28" s="32"/>
      <c r="X28" s="32"/>
      <c r="Y28" s="25"/>
      <c r="Z28" s="32"/>
      <c r="AA28" s="25"/>
      <c r="AB28" s="32"/>
      <c r="AC28" s="25"/>
      <c r="AD28" s="32"/>
      <c r="AE28" s="25"/>
      <c r="AF28" s="32"/>
      <c r="AG28" s="25"/>
    </row>
    <row r="29" spans="2:38" ht="26">
      <c r="C29" t="s">
        <v>163</v>
      </c>
      <c r="S29" s="23" t="s">
        <v>53</v>
      </c>
      <c r="X29" s="5"/>
      <c r="Y29"/>
      <c r="AA29"/>
      <c r="AC29"/>
      <c r="AE29" t="s">
        <v>284</v>
      </c>
      <c r="AG29" t="s">
        <v>304</v>
      </c>
    </row>
    <row r="30" spans="2:38" ht="15.75" customHeight="1">
      <c r="D30" t="s">
        <v>187</v>
      </c>
      <c r="I30" s="7">
        <v>63816.740000000005</v>
      </c>
      <c r="K30" s="7">
        <v>65731.242200000008</v>
      </c>
      <c r="M30" s="7">
        <v>67703.179466000016</v>
      </c>
      <c r="O30" s="7">
        <v>69734.274849980022</v>
      </c>
      <c r="Q30" s="7">
        <v>71826.303095479423</v>
      </c>
      <c r="S30" s="5"/>
    </row>
    <row r="31" spans="2:38" ht="15" thickBot="1">
      <c r="D31" t="s">
        <v>188</v>
      </c>
      <c r="I31" s="7">
        <v>0</v>
      </c>
      <c r="K31" s="7">
        <v>0</v>
      </c>
      <c r="M31" s="7">
        <v>0</v>
      </c>
      <c r="O31" s="7">
        <v>0</v>
      </c>
      <c r="Q31" s="7">
        <v>0</v>
      </c>
      <c r="Y31" s="33"/>
      <c r="Z31" s="34"/>
      <c r="AA31" s="33"/>
      <c r="AB31" s="34"/>
      <c r="AC31" s="35" t="s">
        <v>59</v>
      </c>
      <c r="AD31" s="34"/>
      <c r="AE31" s="33"/>
      <c r="AF31" s="34"/>
      <c r="AG31" s="33"/>
      <c r="AI31" s="99">
        <v>41455</v>
      </c>
      <c r="AJ31" s="95">
        <v>1.1952176150192326</v>
      </c>
      <c r="AK31" s="95">
        <v>0</v>
      </c>
      <c r="AL31" s="95">
        <v>9</v>
      </c>
    </row>
    <row r="32" spans="2:38">
      <c r="D32" t="s">
        <v>189</v>
      </c>
      <c r="I32" s="7">
        <v>0</v>
      </c>
      <c r="K32" s="7">
        <v>0</v>
      </c>
      <c r="M32" s="7">
        <v>0</v>
      </c>
      <c r="O32" s="7">
        <v>0</v>
      </c>
      <c r="Q32" s="7">
        <v>0</v>
      </c>
      <c r="S32" s="22" t="s">
        <v>74</v>
      </c>
      <c r="Y32" s="10">
        <v>43465</v>
      </c>
      <c r="Z32" s="8"/>
      <c r="AA32" s="10">
        <v>43830</v>
      </c>
      <c r="AB32" s="8"/>
      <c r="AC32" s="10">
        <v>44196</v>
      </c>
      <c r="AD32" s="8"/>
      <c r="AE32" s="10">
        <v>44561</v>
      </c>
      <c r="AF32" s="8"/>
      <c r="AG32" s="10">
        <v>44926</v>
      </c>
      <c r="AI32" s="99">
        <v>41820</v>
      </c>
      <c r="AJ32" s="95">
        <v>0.9064988202897164</v>
      </c>
      <c r="AK32" s="95">
        <v>0</v>
      </c>
      <c r="AL32" s="95">
        <v>9</v>
      </c>
    </row>
    <row r="33" spans="2:38">
      <c r="D33" t="s">
        <v>190</v>
      </c>
      <c r="I33" s="7">
        <v>0</v>
      </c>
      <c r="K33" s="7">
        <v>0</v>
      </c>
      <c r="M33" s="7">
        <v>0</v>
      </c>
      <c r="O33" s="7">
        <v>0</v>
      </c>
      <c r="Q33" s="7">
        <v>0</v>
      </c>
      <c r="Y33"/>
      <c r="AA33"/>
      <c r="AC33"/>
      <c r="AE33"/>
      <c r="AG33"/>
      <c r="AI33" s="99">
        <v>42185</v>
      </c>
      <c r="AJ33" s="95">
        <v>0.73105393374240946</v>
      </c>
      <c r="AK33" s="95">
        <v>0</v>
      </c>
      <c r="AL33" s="95">
        <v>9</v>
      </c>
    </row>
    <row r="34" spans="2:38">
      <c r="D34" t="s">
        <v>111</v>
      </c>
      <c r="I34" s="7">
        <v>5000</v>
      </c>
      <c r="K34" s="7">
        <v>5000</v>
      </c>
      <c r="M34" s="7">
        <v>5000</v>
      </c>
      <c r="O34" s="7">
        <v>5000</v>
      </c>
      <c r="Q34" s="7">
        <v>5000</v>
      </c>
      <c r="S34" t="s">
        <v>115</v>
      </c>
      <c r="Y34" s="94">
        <v>0.23639918185748585</v>
      </c>
      <c r="AA34" s="94">
        <v>0.19855441424048653</v>
      </c>
      <c r="AC34" s="94">
        <v>0.17138235508826832</v>
      </c>
      <c r="AE34" s="94">
        <v>0.15089696187267521</v>
      </c>
      <c r="AG34" s="94">
        <v>0.13489429032170092</v>
      </c>
      <c r="AI34" s="99">
        <v>42551</v>
      </c>
      <c r="AJ34" s="95">
        <v>0.61315610023406675</v>
      </c>
      <c r="AK34" s="95">
        <v>0</v>
      </c>
      <c r="AL34" s="95">
        <v>9</v>
      </c>
    </row>
    <row r="35" spans="2:38" ht="15" thickBot="1">
      <c r="D35" t="s">
        <v>191</v>
      </c>
      <c r="I35" s="54">
        <v>0</v>
      </c>
      <c r="K35" s="54">
        <v>0</v>
      </c>
      <c r="M35" s="54">
        <v>0</v>
      </c>
      <c r="O35" s="54">
        <v>0</v>
      </c>
      <c r="Q35" s="54">
        <v>0</v>
      </c>
      <c r="S35" t="s">
        <v>116</v>
      </c>
      <c r="Y35" s="94">
        <v>0.23639918185748585</v>
      </c>
      <c r="AA35" s="94">
        <v>0.19855441424048653</v>
      </c>
      <c r="AC35" s="94">
        <v>0.17138235508826832</v>
      </c>
      <c r="AE35" s="94">
        <v>0.15089696187267521</v>
      </c>
      <c r="AG35" s="94">
        <v>0.13489429032170092</v>
      </c>
      <c r="AI35" s="99">
        <v>42916</v>
      </c>
      <c r="AJ35" s="95">
        <v>0.52850241777307905</v>
      </c>
      <c r="AK35" s="95">
        <v>0</v>
      </c>
      <c r="AL35" s="95">
        <v>9</v>
      </c>
    </row>
    <row r="36" spans="2:38" ht="15" thickTop="1">
      <c r="S36" t="s">
        <v>242</v>
      </c>
      <c r="Y36" s="94">
        <v>9.0532774914784727E-3</v>
      </c>
      <c r="AA36" s="94">
        <v>7.1465721346279341E-3</v>
      </c>
      <c r="AC36" s="94">
        <v>5.7975261136617743E-3</v>
      </c>
      <c r="AE36" s="94">
        <v>4.7975054295711899E-3</v>
      </c>
      <c r="AG36" s="94">
        <v>4.0307598017131629E-3</v>
      </c>
    </row>
    <row r="37" spans="2:38">
      <c r="D37" t="s">
        <v>192</v>
      </c>
      <c r="I37" s="7">
        <v>68816.740000000005</v>
      </c>
      <c r="K37" s="7">
        <v>70731.242200000008</v>
      </c>
      <c r="M37" s="7">
        <v>72703.179466000016</v>
      </c>
      <c r="O37" s="7">
        <v>74734.274849980022</v>
      </c>
      <c r="Q37" s="7">
        <v>76826.303095479423</v>
      </c>
      <c r="S37" t="s">
        <v>48</v>
      </c>
      <c r="Y37" s="94">
        <v>5.9055877093398448E-2</v>
      </c>
      <c r="AA37" s="94">
        <v>4.1466208838391645E-2</v>
      </c>
      <c r="AC37" s="94">
        <v>2.4982102475532644E-2</v>
      </c>
      <c r="AE37" s="94">
        <v>1.7803095359442803E-2</v>
      </c>
      <c r="AG37" s="94">
        <v>1.3613042671120294E-2</v>
      </c>
    </row>
    <row r="38" spans="2:38">
      <c r="S38" t="s">
        <v>207</v>
      </c>
      <c r="Y38" s="97">
        <v>7465</v>
      </c>
      <c r="AA38" s="7">
        <v>41779.20000000007</v>
      </c>
      <c r="AC38" s="7">
        <v>44453.068800000008</v>
      </c>
      <c r="AE38" s="7">
        <v>47298.065203200094</v>
      </c>
      <c r="AG38" s="7">
        <v>50325.141376204905</v>
      </c>
    </row>
    <row r="39" spans="2:38">
      <c r="C39" t="s">
        <v>193</v>
      </c>
      <c r="I39" s="7">
        <v>527649.92666666675</v>
      </c>
      <c r="K39" s="7">
        <v>567514.62446666672</v>
      </c>
      <c r="M39" s="7">
        <v>609995.75600066665</v>
      </c>
      <c r="O39" s="7">
        <v>655262.72581988678</v>
      </c>
      <c r="Q39" s="7">
        <v>703495.83895059233</v>
      </c>
      <c r="S39" t="s">
        <v>118</v>
      </c>
      <c r="Y39" s="97">
        <v>665682.87666666694</v>
      </c>
      <c r="AA39" s="7">
        <v>736749.72363333311</v>
      </c>
      <c r="AC39" s="7">
        <v>814003.51234899927</v>
      </c>
      <c r="AE39" s="7">
        <v>898857.41028567031</v>
      </c>
      <c r="AG39" s="7">
        <v>991263.06226399262</v>
      </c>
    </row>
    <row r="40" spans="2:38">
      <c r="S40" t="s">
        <v>119</v>
      </c>
      <c r="Y40" s="94">
        <v>-1.5079100362489259E-2</v>
      </c>
      <c r="AA40" s="94">
        <v>-1.4954775927561607E-2</v>
      </c>
      <c r="AC40" s="94">
        <v>-6.3647228499553723E-3</v>
      </c>
      <c r="AE40" s="94">
        <v>-3.5728143629444775E-3</v>
      </c>
      <c r="AG40" s="94">
        <v>-2.2749725970309244E-3</v>
      </c>
    </row>
    <row r="41" spans="2:38">
      <c r="B41" s="6" t="s">
        <v>168</v>
      </c>
      <c r="S41" t="s">
        <v>280</v>
      </c>
      <c r="Y41" s="94">
        <v>4.9986023972694936E-2</v>
      </c>
      <c r="AA41" s="94">
        <v>4.837803375621981E-2</v>
      </c>
      <c r="AC41" s="94">
        <v>4.7309611792760442E-2</v>
      </c>
      <c r="AE41" s="94">
        <v>4.6745872853571055E-2</v>
      </c>
      <c r="AG41" s="94">
        <v>4.639682223929073E-2</v>
      </c>
    </row>
    <row r="42" spans="2:38">
      <c r="S42" t="s">
        <v>124</v>
      </c>
      <c r="Y42" s="94">
        <v>0</v>
      </c>
      <c r="AA42" s="94">
        <v>0</v>
      </c>
      <c r="AC42" s="94">
        <v>0</v>
      </c>
      <c r="AE42" s="94">
        <v>0</v>
      </c>
      <c r="AG42" s="94">
        <v>0</v>
      </c>
    </row>
    <row r="43" spans="2:38">
      <c r="C43" t="s">
        <v>279</v>
      </c>
      <c r="I43" s="7">
        <v>138032.95000000001</v>
      </c>
      <c r="K43" s="7">
        <v>169235.09916666668</v>
      </c>
      <c r="M43" s="7">
        <v>204007.75634833332</v>
      </c>
      <c r="O43" s="7">
        <v>243594.68446578333</v>
      </c>
      <c r="Q43" s="7">
        <v>287767.22331340017</v>
      </c>
      <c r="S43" t="s">
        <v>127</v>
      </c>
      <c r="Y43" s="94">
        <v>-1.5079100362489259E-2</v>
      </c>
      <c r="AA43" s="94">
        <v>-1.4954775927561607E-2</v>
      </c>
      <c r="AC43" s="94">
        <v>-6.3647228499553723E-3</v>
      </c>
      <c r="AE43" s="94">
        <v>-3.5728143629444775E-3</v>
      </c>
      <c r="AG43" s="94">
        <v>-2.2749725970309244E-3</v>
      </c>
    </row>
    <row r="44" spans="2:38" ht="15" thickBot="1">
      <c r="C44" t="s">
        <v>194</v>
      </c>
      <c r="I44" s="54">
        <v>0</v>
      </c>
      <c r="K44" s="54">
        <v>0</v>
      </c>
      <c r="M44" s="54">
        <v>0</v>
      </c>
      <c r="O44" s="54">
        <v>0</v>
      </c>
      <c r="Q44" s="54">
        <v>0</v>
      </c>
      <c r="S44" t="s">
        <v>128</v>
      </c>
      <c r="Y44" s="94">
        <v>0.37870653564239143</v>
      </c>
      <c r="AA44" s="94">
        <v>0.24930482343535917</v>
      </c>
      <c r="AC44" s="94">
        <v>0.17949033890945443</v>
      </c>
      <c r="AE44" s="94">
        <v>0.13631582416011628</v>
      </c>
      <c r="AG44" s="94">
        <v>0.10729554822139115</v>
      </c>
    </row>
    <row r="45" spans="2:38" ht="15" thickTop="1">
      <c r="S45" t="s">
        <v>73</v>
      </c>
      <c r="Y45" s="94">
        <v>8.6294934640522819E-2</v>
      </c>
      <c r="AA45" s="94">
        <v>8.110426188019064E-2</v>
      </c>
      <c r="AC45" s="94">
        <v>7.6225810037773178E-2</v>
      </c>
      <c r="AE45" s="94">
        <v>7.164079890768156E-2</v>
      </c>
      <c r="AG45" s="94">
        <v>6.7331577920753338E-2</v>
      </c>
    </row>
    <row r="46" spans="2:38">
      <c r="C46" t="s">
        <v>195</v>
      </c>
      <c r="I46" s="7">
        <v>138032.95000000001</v>
      </c>
      <c r="K46" s="7">
        <v>169235.09916666668</v>
      </c>
      <c r="M46" s="7">
        <v>204007.75634833332</v>
      </c>
      <c r="O46" s="7">
        <v>243594.68446578333</v>
      </c>
      <c r="Q46" s="7">
        <v>287767.22331340017</v>
      </c>
      <c r="S46" t="s">
        <v>132</v>
      </c>
      <c r="Y46" s="94">
        <v>0.10541780024509805</v>
      </c>
      <c r="AA46" s="94">
        <v>0.1018332282337277</v>
      </c>
      <c r="AC46" s="94">
        <v>9.8376190777232822E-2</v>
      </c>
      <c r="AE46" s="94">
        <v>9.5041831172286775E-2</v>
      </c>
      <c r="AG46" s="94">
        <v>9.1825494909526961E-2</v>
      </c>
    </row>
    <row r="47" spans="2:38">
      <c r="S47" t="s">
        <v>134</v>
      </c>
      <c r="Y47" s="94">
        <v>0</v>
      </c>
      <c r="AA47" s="94">
        <v>0</v>
      </c>
      <c r="AC47" s="94">
        <v>0</v>
      </c>
      <c r="AE47" s="94">
        <v>0</v>
      </c>
      <c r="AG47" s="94">
        <v>0</v>
      </c>
    </row>
    <row r="48" spans="2:38">
      <c r="B48" s="6" t="s">
        <v>112</v>
      </c>
      <c r="I48" s="7">
        <v>665682.87666666671</v>
      </c>
      <c r="K48" s="7">
        <v>736749.72363333334</v>
      </c>
      <c r="M48" s="7">
        <v>814003.51234899997</v>
      </c>
      <c r="O48" s="7">
        <v>898857.41028567008</v>
      </c>
      <c r="Q48" s="7">
        <v>991263.0622639925</v>
      </c>
      <c r="S48" t="s">
        <v>135</v>
      </c>
      <c r="Y48" s="94">
        <v>0.29713053513071891</v>
      </c>
      <c r="AA48" s="94">
        <v>0.28477071834764606</v>
      </c>
      <c r="AC48" s="94">
        <v>0.27297819159223879</v>
      </c>
      <c r="AE48" s="94">
        <v>0.26172446125225513</v>
      </c>
      <c r="AG48" s="94">
        <v>0.25098256773980726</v>
      </c>
    </row>
    <row r="49" spans="2:33">
      <c r="B49" s="6"/>
      <c r="S49" t="s">
        <v>47</v>
      </c>
      <c r="Y49" s="94">
        <v>0.21144753370098041</v>
      </c>
      <c r="AA49" s="94">
        <v>0.24365126275976398</v>
      </c>
      <c r="AC49" s="94">
        <v>0.27604715647882316</v>
      </c>
      <c r="AE49" s="94">
        <v>0.30978670659396429</v>
      </c>
      <c r="AG49" s="94">
        <v>0.34394948910470463</v>
      </c>
    </row>
    <row r="50" spans="2:33">
      <c r="B50" s="6" t="s">
        <v>196</v>
      </c>
      <c r="I50" s="7">
        <v>0</v>
      </c>
      <c r="K50" s="7">
        <v>0</v>
      </c>
      <c r="M50" s="7">
        <v>0</v>
      </c>
      <c r="O50" s="7">
        <v>0</v>
      </c>
      <c r="Q50" s="7">
        <v>0</v>
      </c>
      <c r="S50" t="s">
        <v>114</v>
      </c>
      <c r="Y50" s="94">
        <v>8.5683001429738503E-2</v>
      </c>
      <c r="AA50" s="94">
        <v>4.1119455587882076E-2</v>
      </c>
      <c r="AC50" s="94">
        <v>-3.0689648865843688E-3</v>
      </c>
      <c r="AE50" s="94">
        <v>-4.8062245341709164E-2</v>
      </c>
      <c r="AG50" s="94">
        <v>-9.296692136489737E-2</v>
      </c>
    </row>
    <row r="51" spans="2:33">
      <c r="B51" s="6"/>
      <c r="S51" t="s">
        <v>38</v>
      </c>
      <c r="Y51" s="94">
        <v>5.3952854864162356</v>
      </c>
      <c r="AA51" s="94">
        <v>6.9596804313904412</v>
      </c>
      <c r="AC51" s="94">
        <v>8.6361094106154486</v>
      </c>
      <c r="AE51" s="94">
        <v>10.486644093535206</v>
      </c>
      <c r="AG51" s="94">
        <v>12.540288492793623</v>
      </c>
    </row>
    <row r="52" spans="2:33">
      <c r="B52" s="6" t="s">
        <v>113</v>
      </c>
      <c r="I52" s="7">
        <v>0</v>
      </c>
      <c r="K52" s="7">
        <v>0</v>
      </c>
      <c r="M52" s="7">
        <v>0</v>
      </c>
      <c r="O52" s="7">
        <v>0</v>
      </c>
      <c r="Q52" s="7">
        <v>0</v>
      </c>
      <c r="S52" t="s">
        <v>39</v>
      </c>
      <c r="Y52" s="7">
        <v>486010.03333333333</v>
      </c>
      <c r="AA52" s="7">
        <v>526218.04446666676</v>
      </c>
      <c r="AC52" s="7">
        <v>587730.80600066669</v>
      </c>
      <c r="AE52" s="7">
        <v>639856.09248655348</v>
      </c>
      <c r="AG52" s="7">
        <v>691640.86228392564</v>
      </c>
    </row>
    <row r="53" spans="2:33">
      <c r="B53" s="6"/>
      <c r="S53" t="s">
        <v>44</v>
      </c>
      <c r="Y53" s="7">
        <v>486010.03333333333</v>
      </c>
      <c r="AA53" s="7">
        <v>526218.04446666676</v>
      </c>
      <c r="AC53" s="7">
        <v>587730.80600066669</v>
      </c>
      <c r="AE53" s="7">
        <v>639856.09248655348</v>
      </c>
      <c r="AG53" s="7">
        <v>691640.86228392564</v>
      </c>
    </row>
    <row r="54" spans="2:33">
      <c r="B54" s="6" t="s">
        <v>162</v>
      </c>
      <c r="I54" s="7">
        <v>665682.87666666671</v>
      </c>
      <c r="K54" s="7">
        <v>736749.72363333334</v>
      </c>
      <c r="M54" s="7">
        <v>814003.51234899997</v>
      </c>
      <c r="O54" s="7">
        <v>898857.41028567008</v>
      </c>
      <c r="Q54" s="7">
        <v>991263.0622639925</v>
      </c>
      <c r="S54" t="s">
        <v>51</v>
      </c>
      <c r="Y54" s="94">
        <v>1.0197347988153596</v>
      </c>
      <c r="AA54" s="94">
        <v>1.0607137726458455</v>
      </c>
      <c r="AC54" s="94">
        <v>1.101445155663817</v>
      </c>
      <c r="AE54" s="94">
        <v>1.1431040765139959</v>
      </c>
      <c r="AG54" s="94">
        <v>1.1847924162744243</v>
      </c>
    </row>
    <row r="56" spans="2:33" ht="6.75" customHeight="1">
      <c r="B56" s="32"/>
      <c r="C56" s="32"/>
      <c r="D56" s="32"/>
      <c r="E56" s="32"/>
      <c r="F56" s="32"/>
      <c r="G56" s="32"/>
      <c r="H56" s="32"/>
      <c r="I56" s="25"/>
      <c r="J56" s="32"/>
      <c r="K56" s="25"/>
      <c r="L56" s="32"/>
      <c r="M56" s="25"/>
      <c r="N56" s="32"/>
      <c r="O56" s="25"/>
      <c r="P56" s="32"/>
      <c r="Q56" s="25"/>
      <c r="S56" s="32"/>
      <c r="T56" s="32"/>
      <c r="U56" s="32"/>
      <c r="V56" s="32"/>
      <c r="W56" s="32"/>
      <c r="X56" s="32"/>
      <c r="Y56" s="25"/>
      <c r="Z56" s="32"/>
      <c r="AA56" s="25"/>
      <c r="AB56" s="32"/>
      <c r="AC56" s="25"/>
      <c r="AD56" s="32"/>
      <c r="AE56" s="25"/>
      <c r="AF56" s="32"/>
      <c r="AG56" s="25"/>
    </row>
    <row r="59" spans="2:33" ht="26">
      <c r="B59" s="5" t="s">
        <v>198</v>
      </c>
      <c r="S59" s="5">
        <v>0</v>
      </c>
    </row>
    <row r="61" spans="2:33" ht="26">
      <c r="B61" s="5" t="s">
        <v>179</v>
      </c>
      <c r="O61" s="7" t="s">
        <v>284</v>
      </c>
      <c r="Q61" s="7" t="s">
        <v>285</v>
      </c>
      <c r="S61" s="5" t="s">
        <v>200</v>
      </c>
      <c r="AE61" s="7" t="s">
        <v>284</v>
      </c>
      <c r="AG61" s="7" t="s">
        <v>285</v>
      </c>
    </row>
    <row r="62" spans="2:33" ht="6.75" customHeight="1">
      <c r="B62" s="43"/>
      <c r="C62" s="32"/>
      <c r="D62" s="32"/>
      <c r="E62" s="32"/>
      <c r="F62" s="32"/>
      <c r="G62" s="32"/>
      <c r="H62" s="32"/>
      <c r="I62" s="25"/>
      <c r="J62" s="32"/>
      <c r="K62" s="25"/>
      <c r="L62" s="32"/>
      <c r="M62" s="25"/>
      <c r="N62" s="32"/>
      <c r="O62" s="25"/>
      <c r="P62" s="32"/>
      <c r="Q62" s="25"/>
      <c r="S62" s="43"/>
      <c r="T62" s="32"/>
      <c r="U62" s="32"/>
      <c r="V62" s="32"/>
      <c r="W62" s="32"/>
      <c r="X62" s="32"/>
      <c r="Y62" s="25"/>
      <c r="Z62" s="32"/>
      <c r="AA62" s="25"/>
      <c r="AB62" s="32"/>
      <c r="AC62" s="25"/>
      <c r="AD62" s="32"/>
      <c r="AE62" s="25"/>
      <c r="AF62" s="32"/>
      <c r="AG62" s="25"/>
    </row>
    <row r="63" spans="2:33" ht="17.25" customHeight="1">
      <c r="B63" s="5"/>
      <c r="S63" s="5"/>
    </row>
    <row r="64" spans="2:33" ht="15" thickBot="1">
      <c r="I64" s="33"/>
      <c r="J64" s="34"/>
      <c r="K64" s="33"/>
      <c r="L64" s="34"/>
      <c r="M64" s="35" t="s">
        <v>58</v>
      </c>
      <c r="N64" s="34"/>
      <c r="O64" s="33"/>
      <c r="P64" s="34"/>
      <c r="Q64" s="33"/>
      <c r="Y64" s="33"/>
      <c r="Z64" s="34"/>
      <c r="AA64" s="33"/>
      <c r="AB64" s="34"/>
      <c r="AC64" s="35" t="s">
        <v>59</v>
      </c>
      <c r="AD64" s="34"/>
      <c r="AE64" s="33"/>
      <c r="AF64" s="34"/>
      <c r="AG64" s="33"/>
    </row>
    <row r="65" spans="2:33">
      <c r="B65" s="6" t="s">
        <v>180</v>
      </c>
      <c r="I65" s="8">
        <v>2019</v>
      </c>
      <c r="J65" s="8"/>
      <c r="K65" s="8">
        <v>2020</v>
      </c>
      <c r="L65" s="8"/>
      <c r="M65" s="8">
        <v>2021</v>
      </c>
      <c r="N65" s="8"/>
      <c r="O65" s="8">
        <v>2022</v>
      </c>
      <c r="P65" s="8"/>
      <c r="Q65" s="8">
        <v>2023</v>
      </c>
      <c r="S65" s="6" t="s">
        <v>201</v>
      </c>
      <c r="Y65" s="10">
        <v>43465</v>
      </c>
      <c r="Z65" s="8"/>
      <c r="AA65" s="10">
        <v>43830</v>
      </c>
      <c r="AB65" s="8"/>
      <c r="AC65" s="10">
        <v>44196</v>
      </c>
      <c r="AD65" s="8"/>
      <c r="AE65" s="10">
        <v>44561</v>
      </c>
      <c r="AF65" s="8"/>
      <c r="AG65" s="10">
        <v>44926</v>
      </c>
    </row>
    <row r="67" spans="2:33">
      <c r="C67" t="s">
        <v>86</v>
      </c>
      <c r="I67" s="7">
        <v>652800</v>
      </c>
      <c r="K67" s="7">
        <v>694579.20000000007</v>
      </c>
      <c r="M67" s="7">
        <v>739032.26880000008</v>
      </c>
      <c r="O67" s="7">
        <v>786330.33400320017</v>
      </c>
      <c r="Q67" s="7">
        <v>836655.47537940508</v>
      </c>
      <c r="T67" t="s">
        <v>281</v>
      </c>
      <c r="Y67" s="7">
        <v>1657676.2169333333</v>
      </c>
      <c r="AA67" s="7">
        <v>2350678.7456466667</v>
      </c>
      <c r="AC67" s="7">
        <v>3139227.3968296666</v>
      </c>
      <c r="AE67" s="7">
        <v>4018917.5900577032</v>
      </c>
      <c r="AG67" s="7">
        <v>4994089.2388445148</v>
      </c>
    </row>
    <row r="68" spans="2:33">
      <c r="C68" t="s">
        <v>181</v>
      </c>
      <c r="I68" s="7">
        <v>0</v>
      </c>
      <c r="K68" s="7">
        <v>0</v>
      </c>
      <c r="M68" s="7">
        <v>0</v>
      </c>
      <c r="O68" s="7">
        <v>0</v>
      </c>
      <c r="Q68" s="7">
        <v>0</v>
      </c>
      <c r="T68" t="s">
        <v>165</v>
      </c>
      <c r="Y68" s="7">
        <v>0</v>
      </c>
      <c r="AA68" s="7">
        <v>0</v>
      </c>
      <c r="AC68" s="7">
        <v>0</v>
      </c>
      <c r="AE68" s="7">
        <v>0</v>
      </c>
      <c r="AG68" s="7">
        <v>0</v>
      </c>
    </row>
    <row r="69" spans="2:33">
      <c r="C69" t="s">
        <v>110</v>
      </c>
      <c r="I69" s="7">
        <v>0</v>
      </c>
      <c r="K69" s="7">
        <v>0</v>
      </c>
      <c r="M69" s="7">
        <v>0</v>
      </c>
      <c r="O69" s="7">
        <v>0</v>
      </c>
      <c r="Q69" s="7">
        <v>0</v>
      </c>
      <c r="T69" t="s">
        <v>202</v>
      </c>
      <c r="Y69" s="7">
        <v>1725710</v>
      </c>
      <c r="AA69" s="7">
        <v>1725710</v>
      </c>
      <c r="AC69" s="7">
        <v>1725710</v>
      </c>
      <c r="AE69" s="7">
        <v>1725710</v>
      </c>
      <c r="AG69" s="7">
        <v>1725710</v>
      </c>
    </row>
    <row r="70" spans="2:33" ht="15" thickBot="1">
      <c r="C70" t="s">
        <v>125</v>
      </c>
      <c r="I70" s="54">
        <v>0</v>
      </c>
      <c r="K70" s="54">
        <v>0</v>
      </c>
      <c r="M70" s="54">
        <v>0</v>
      </c>
      <c r="O70" s="54">
        <v>0</v>
      </c>
      <c r="Q70" s="54">
        <v>0</v>
      </c>
      <c r="T70" t="s">
        <v>203</v>
      </c>
      <c r="Y70" s="54">
        <v>5000</v>
      </c>
      <c r="AA70" s="54">
        <v>5000</v>
      </c>
      <c r="AC70" s="54">
        <v>5000</v>
      </c>
      <c r="AE70" s="54">
        <v>5000</v>
      </c>
      <c r="AG70" s="54">
        <v>5000</v>
      </c>
    </row>
    <row r="71" spans="2:33" ht="15" thickTop="1"/>
    <row r="72" spans="2:33">
      <c r="C72" t="s">
        <v>182</v>
      </c>
      <c r="I72" s="7">
        <v>652800</v>
      </c>
      <c r="K72" s="7">
        <v>694579.20000000007</v>
      </c>
      <c r="M72" s="7">
        <v>739032.26880000008</v>
      </c>
      <c r="O72" s="7">
        <v>786330.33400320017</v>
      </c>
      <c r="Q72" s="7">
        <v>836655.47537940508</v>
      </c>
      <c r="T72" t="s">
        <v>166</v>
      </c>
      <c r="Y72" s="7">
        <v>3388386.2169333333</v>
      </c>
      <c r="AA72" s="7">
        <v>4081388.7456466667</v>
      </c>
      <c r="AC72" s="7">
        <v>4869937.3968296666</v>
      </c>
      <c r="AE72" s="7">
        <v>5749627.5900577027</v>
      </c>
      <c r="AG72" s="7">
        <v>6724799.2388445148</v>
      </c>
    </row>
    <row r="74" spans="2:33">
      <c r="B74" s="6" t="s">
        <v>183</v>
      </c>
      <c r="S74" s="6" t="s">
        <v>204</v>
      </c>
    </row>
    <row r="76" spans="2:33">
      <c r="C76" t="s">
        <v>184</v>
      </c>
      <c r="I76" s="7">
        <v>99288.993066666662</v>
      </c>
      <c r="K76" s="7">
        <v>100014.73993333333</v>
      </c>
      <c r="M76" s="7">
        <v>81599.875433333335</v>
      </c>
      <c r="O76" s="7">
        <v>75152.735766666679</v>
      </c>
      <c r="Q76" s="7">
        <v>71888.90300000002</v>
      </c>
      <c r="T76" t="s">
        <v>205</v>
      </c>
      <c r="Y76" s="7">
        <v>210989.11026666668</v>
      </c>
      <c r="AA76" s="7">
        <v>171419.47366666669</v>
      </c>
      <c r="AC76" s="7">
        <v>150264.70156666668</v>
      </c>
      <c r="AE76" s="7">
        <v>135557.06913333334</v>
      </c>
      <c r="AG76" s="7">
        <v>124113.26946666665</v>
      </c>
    </row>
    <row r="77" spans="2:33" ht="15" thickBot="1">
      <c r="C77" t="s">
        <v>185</v>
      </c>
      <c r="I77" s="54">
        <v>-38843.889733333315</v>
      </c>
      <c r="K77" s="54">
        <v>-39569.636599999998</v>
      </c>
      <c r="M77" s="54">
        <v>-21154.772100000002</v>
      </c>
      <c r="O77" s="54">
        <v>-14707.632433333347</v>
      </c>
      <c r="Q77" s="54">
        <v>-11443.799666666688</v>
      </c>
      <c r="T77" t="s">
        <v>206</v>
      </c>
      <c r="Y77" s="54">
        <v>420078</v>
      </c>
      <c r="AA77" s="54">
        <v>420078</v>
      </c>
      <c r="AC77" s="54">
        <v>420078</v>
      </c>
      <c r="AE77" s="54">
        <v>420078</v>
      </c>
      <c r="AG77" s="54">
        <v>420078</v>
      </c>
    </row>
    <row r="78" spans="2:33" ht="15" thickTop="1"/>
    <row r="79" spans="2:33">
      <c r="C79" t="s">
        <v>186</v>
      </c>
      <c r="I79" s="7">
        <v>60445.103333333347</v>
      </c>
      <c r="K79" s="7">
        <v>60445.103333333333</v>
      </c>
      <c r="M79" s="7">
        <v>60445.103333333333</v>
      </c>
      <c r="O79" s="7">
        <v>60445.103333333333</v>
      </c>
      <c r="Q79" s="7">
        <v>60445.103333333333</v>
      </c>
      <c r="T79" t="s">
        <v>167</v>
      </c>
      <c r="Y79" s="7">
        <v>631067.11026666663</v>
      </c>
      <c r="AA79" s="7">
        <v>591497.47366666666</v>
      </c>
      <c r="AC79" s="7">
        <v>570342.70156666671</v>
      </c>
      <c r="AE79" s="7">
        <v>555635.0691333334</v>
      </c>
      <c r="AG79" s="7">
        <v>544191.26946666662</v>
      </c>
    </row>
    <row r="81" spans="2:33">
      <c r="C81" t="s">
        <v>164</v>
      </c>
      <c r="I81" s="7">
        <v>592354.89666666661</v>
      </c>
      <c r="K81" s="7">
        <v>634134.09666666668</v>
      </c>
      <c r="M81" s="7">
        <v>678587.16546666669</v>
      </c>
      <c r="O81" s="7">
        <v>725885.23066986678</v>
      </c>
      <c r="Q81" s="7">
        <v>776210.3720460718</v>
      </c>
      <c r="S81" s="6" t="s">
        <v>169</v>
      </c>
      <c r="Y81" s="7">
        <v>2757319.1066666665</v>
      </c>
      <c r="AA81" s="7">
        <v>3489891.2719800002</v>
      </c>
      <c r="AC81" s="7">
        <v>4299594.6952630002</v>
      </c>
      <c r="AE81" s="7">
        <v>5193992.5209243689</v>
      </c>
      <c r="AG81" s="7">
        <v>6180607.9693778483</v>
      </c>
    </row>
    <row r="82" spans="2:33">
      <c r="S82" s="6"/>
    </row>
    <row r="83" spans="2:33" ht="6.75" customHeight="1">
      <c r="S83" s="32"/>
      <c r="T83" s="32"/>
      <c r="U83" s="32"/>
      <c r="V83" s="32"/>
      <c r="W83" s="32"/>
      <c r="X83" s="32"/>
      <c r="Y83" s="25"/>
      <c r="Z83" s="32"/>
      <c r="AA83" s="25"/>
      <c r="AB83" s="32"/>
      <c r="AC83" s="25"/>
      <c r="AD83" s="32"/>
      <c r="AE83" s="25"/>
      <c r="AF83" s="32"/>
      <c r="AG83" s="25"/>
    </row>
    <row r="84" spans="2:33" ht="26">
      <c r="C84" t="s">
        <v>163</v>
      </c>
      <c r="S84" s="23" t="s">
        <v>53</v>
      </c>
      <c r="X84" s="5"/>
      <c r="Y84"/>
      <c r="AA84"/>
      <c r="AC84"/>
      <c r="AE84" t="s">
        <v>284</v>
      </c>
      <c r="AG84" t="s">
        <v>285</v>
      </c>
    </row>
    <row r="85" spans="2:33" ht="15.75" customHeight="1">
      <c r="D85" t="s">
        <v>187</v>
      </c>
      <c r="I85" s="7">
        <v>63816.740000000005</v>
      </c>
      <c r="K85" s="7">
        <v>65731.242200000008</v>
      </c>
      <c r="M85" s="7">
        <v>67703.179466000016</v>
      </c>
      <c r="O85" s="7">
        <v>69734.274849980022</v>
      </c>
      <c r="Q85" s="7">
        <v>71826.303095479423</v>
      </c>
      <c r="S85" s="5"/>
    </row>
    <row r="86" spans="2:33" ht="15" thickBot="1">
      <c r="D86" t="s">
        <v>188</v>
      </c>
      <c r="I86" s="7">
        <v>0</v>
      </c>
      <c r="K86" s="7">
        <v>0</v>
      </c>
      <c r="M86" s="7">
        <v>0</v>
      </c>
      <c r="O86" s="7">
        <v>0</v>
      </c>
      <c r="Q86" s="7">
        <v>0</v>
      </c>
      <c r="Y86" s="33"/>
      <c r="Z86" s="34"/>
      <c r="AA86" s="33"/>
      <c r="AB86" s="34"/>
      <c r="AC86" s="35" t="s">
        <v>59</v>
      </c>
      <c r="AD86" s="34"/>
      <c r="AE86" s="33"/>
      <c r="AF86" s="34"/>
      <c r="AG86" s="33"/>
    </row>
    <row r="87" spans="2:33">
      <c r="D87" t="s">
        <v>189</v>
      </c>
      <c r="I87" s="7">
        <v>0</v>
      </c>
      <c r="K87" s="7">
        <v>0</v>
      </c>
      <c r="M87" s="7">
        <v>0</v>
      </c>
      <c r="O87" s="7">
        <v>0</v>
      </c>
      <c r="Q87" s="7">
        <v>0</v>
      </c>
      <c r="S87" s="22" t="s">
        <v>74</v>
      </c>
      <c r="Y87" s="10">
        <v>43465</v>
      </c>
      <c r="Z87" s="8"/>
      <c r="AA87" s="10">
        <v>43830</v>
      </c>
      <c r="AB87" s="8"/>
      <c r="AC87" s="10">
        <v>44196</v>
      </c>
      <c r="AD87" s="8"/>
      <c r="AE87" s="10">
        <v>44561</v>
      </c>
      <c r="AF87" s="8"/>
      <c r="AG87" s="10">
        <v>44926</v>
      </c>
    </row>
    <row r="88" spans="2:33">
      <c r="D88" t="s">
        <v>190</v>
      </c>
      <c r="I88" s="7">
        <v>0</v>
      </c>
      <c r="K88" s="7">
        <v>0</v>
      </c>
      <c r="M88" s="7">
        <v>0</v>
      </c>
      <c r="O88" s="7">
        <v>0</v>
      </c>
      <c r="Q88" s="7">
        <v>0</v>
      </c>
      <c r="Y88"/>
      <c r="AA88"/>
      <c r="AC88"/>
      <c r="AE88"/>
      <c r="AG88"/>
    </row>
    <row r="89" spans="2:33">
      <c r="D89" t="s">
        <v>111</v>
      </c>
      <c r="I89" s="7">
        <v>5000</v>
      </c>
      <c r="K89" s="7">
        <v>5000</v>
      </c>
      <c r="M89" s="7">
        <v>5000</v>
      </c>
      <c r="O89" s="7">
        <v>5000</v>
      </c>
      <c r="Q89" s="7">
        <v>5000</v>
      </c>
      <c r="S89" t="s">
        <v>115</v>
      </c>
      <c r="Y89" s="94">
        <v>0.2367517050970471</v>
      </c>
      <c r="AA89" s="94">
        <v>0.19902602856905868</v>
      </c>
      <c r="AC89" s="94">
        <v>0.17188417076014523</v>
      </c>
      <c r="AE89" s="94">
        <v>0.15139227306073552</v>
      </c>
      <c r="AG89" s="94">
        <v>0.13536782781316323</v>
      </c>
    </row>
    <row r="90" spans="2:33" ht="15" thickBot="1">
      <c r="D90" t="s">
        <v>191</v>
      </c>
      <c r="I90" s="54">
        <v>0</v>
      </c>
      <c r="K90" s="54">
        <v>0</v>
      </c>
      <c r="M90" s="54">
        <v>0</v>
      </c>
      <c r="O90" s="54">
        <v>0</v>
      </c>
      <c r="Q90" s="54">
        <v>0</v>
      </c>
      <c r="S90" t="s">
        <v>116</v>
      </c>
      <c r="Y90" s="94">
        <v>0.2367517050970471</v>
      </c>
      <c r="AA90" s="94">
        <v>0.19902602856905868</v>
      </c>
      <c r="AC90" s="94">
        <v>0.17188417076014523</v>
      </c>
      <c r="AE90" s="94">
        <v>0.15139227306073552</v>
      </c>
      <c r="AG90" s="94">
        <v>0.13536782781316323</v>
      </c>
    </row>
    <row r="91" spans="2:33" ht="15" thickTop="1">
      <c r="S91" t="s">
        <v>242</v>
      </c>
      <c r="Y91" s="94">
        <v>9.0667779219151014E-3</v>
      </c>
      <c r="AA91" s="94">
        <v>7.163546956526292E-3</v>
      </c>
      <c r="AC91" s="94">
        <v>5.814501545353401E-3</v>
      </c>
      <c r="AE91" s="94">
        <v>4.8132529839590103E-3</v>
      </c>
      <c r="AG91" s="94">
        <v>4.0449095176176572E-3</v>
      </c>
    </row>
    <row r="92" spans="2:33">
      <c r="D92" t="s">
        <v>192</v>
      </c>
      <c r="I92" s="7">
        <v>68816.740000000005</v>
      </c>
      <c r="K92" s="7">
        <v>70731.242200000008</v>
      </c>
      <c r="M92" s="7">
        <v>72703.179466000016</v>
      </c>
      <c r="O92" s="7">
        <v>74734.274849980022</v>
      </c>
      <c r="Q92" s="7">
        <v>76826.303095479423</v>
      </c>
      <c r="S92" t="s">
        <v>48</v>
      </c>
      <c r="Y92" s="94">
        <v>5.9896493689430647E-2</v>
      </c>
      <c r="AA92" s="94">
        <v>4.2547174988736919E-2</v>
      </c>
      <c r="AC92" s="94">
        <v>2.5993617256189139E-2</v>
      </c>
      <c r="AE92" s="94">
        <v>1.8699745412193845E-2</v>
      </c>
      <c r="AG92" s="94">
        <v>1.439479744191215E-2</v>
      </c>
    </row>
    <row r="93" spans="2:33">
      <c r="S93" t="s">
        <v>207</v>
      </c>
      <c r="Y93" s="97">
        <v>7465</v>
      </c>
      <c r="AA93" s="7">
        <v>41779.20000000007</v>
      </c>
      <c r="AC93" s="7">
        <v>44453.068800000008</v>
      </c>
      <c r="AE93" s="7">
        <v>47298.065203200094</v>
      </c>
      <c r="AG93" s="7">
        <v>50325.141376204905</v>
      </c>
    </row>
    <row r="94" spans="2:33">
      <c r="C94" t="s">
        <v>193</v>
      </c>
      <c r="I94" s="7">
        <v>523538.15666666662</v>
      </c>
      <c r="K94" s="7">
        <v>563402.8544666667</v>
      </c>
      <c r="M94" s="7">
        <v>605883.98600066663</v>
      </c>
      <c r="O94" s="7">
        <v>651150.95581988676</v>
      </c>
      <c r="Q94" s="7">
        <v>699384.06895059242</v>
      </c>
      <c r="S94" t="s">
        <v>118</v>
      </c>
      <c r="Y94" s="97">
        <v>661571.10666666646</v>
      </c>
      <c r="AA94" s="7">
        <v>732572.16531333374</v>
      </c>
      <c r="AC94" s="7">
        <v>809703.42328300001</v>
      </c>
      <c r="AE94" s="7">
        <v>894397.82566136867</v>
      </c>
      <c r="AG94" s="7">
        <v>986615.44845347945</v>
      </c>
    </row>
    <row r="95" spans="2:33">
      <c r="S95" t="s">
        <v>119</v>
      </c>
      <c r="Y95" s="94">
        <v>-1.4087556873419647E-2</v>
      </c>
      <c r="AA95" s="94">
        <v>-1.4350764300123348E-2</v>
      </c>
      <c r="AC95" s="94">
        <v>-6.0617281317184935E-3</v>
      </c>
      <c r="AE95" s="94">
        <v>-3.420702060484262E-3</v>
      </c>
      <c r="AG95" s="94">
        <v>-2.2032761157365025E-3</v>
      </c>
    </row>
    <row r="96" spans="2:33">
      <c r="B96" s="6" t="s">
        <v>168</v>
      </c>
      <c r="S96" t="s">
        <v>280</v>
      </c>
      <c r="Y96" s="94">
        <v>5.0060564142272446E-2</v>
      </c>
      <c r="AA96" s="94">
        <v>4.8474092074131572E-2</v>
      </c>
      <c r="AC96" s="94">
        <v>4.7404337322047518E-2</v>
      </c>
      <c r="AE96" s="94">
        <v>4.6832348884128343E-2</v>
      </c>
      <c r="AG96" s="94">
        <v>4.6472997628386775E-2</v>
      </c>
    </row>
    <row r="97" spans="2:33">
      <c r="S97" t="s">
        <v>124</v>
      </c>
      <c r="Y97" s="94">
        <v>0</v>
      </c>
      <c r="AA97" s="94">
        <v>0</v>
      </c>
      <c r="AC97" s="94">
        <v>0</v>
      </c>
      <c r="AE97" s="94">
        <v>0</v>
      </c>
      <c r="AG97" s="94">
        <v>0</v>
      </c>
    </row>
    <row r="98" spans="2:33">
      <c r="C98" t="s">
        <v>279</v>
      </c>
      <c r="I98" s="7">
        <v>138032.95000000001</v>
      </c>
      <c r="K98" s="7">
        <v>169169.31084666669</v>
      </c>
      <c r="M98" s="7">
        <v>203819.43728233335</v>
      </c>
      <c r="O98" s="7">
        <v>243246.86984148333</v>
      </c>
      <c r="Q98" s="7">
        <v>287231.37950288516</v>
      </c>
      <c r="S98" t="s">
        <v>127</v>
      </c>
      <c r="Y98" s="94">
        <v>-1.4087556873419647E-2</v>
      </c>
      <c r="AA98" s="94">
        <v>-1.4350764300123348E-2</v>
      </c>
      <c r="AC98" s="94">
        <v>-6.0617281317184935E-3</v>
      </c>
      <c r="AE98" s="94">
        <v>-3.420702060484262E-3</v>
      </c>
      <c r="AG98" s="94">
        <v>-2.2032761157365025E-3</v>
      </c>
    </row>
    <row r="99" spans="2:33" ht="15" thickBot="1">
      <c r="C99" t="s">
        <v>194</v>
      </c>
      <c r="I99" s="54">
        <v>0</v>
      </c>
      <c r="K99" s="54">
        <v>0</v>
      </c>
      <c r="M99" s="54">
        <v>0</v>
      </c>
      <c r="O99" s="54">
        <v>0</v>
      </c>
      <c r="Q99" s="54">
        <v>0</v>
      </c>
      <c r="S99" t="s">
        <v>128</v>
      </c>
      <c r="Y99" s="94">
        <v>0.38069383141306551</v>
      </c>
      <c r="AA99" s="94">
        <v>0.25162837532014481</v>
      </c>
      <c r="AC99" s="94">
        <v>0.18168250638442465</v>
      </c>
      <c r="AE99" s="94">
        <v>0.13825490487983746</v>
      </c>
      <c r="AG99" s="94">
        <v>0.1089670695577271</v>
      </c>
    </row>
    <row r="100" spans="2:33" ht="15" thickTop="1">
      <c r="S100" t="s">
        <v>73</v>
      </c>
      <c r="Y100" s="94">
        <v>9.2593601919934668E-2</v>
      </c>
      <c r="AA100" s="94">
        <v>8.7024061954825774E-2</v>
      </c>
      <c r="AC100" s="94">
        <v>8.1789531912430241E-2</v>
      </c>
      <c r="AE100" s="94">
        <v>7.6869860819953229E-2</v>
      </c>
      <c r="AG100" s="94">
        <v>7.2246109793189114E-2</v>
      </c>
    </row>
    <row r="101" spans="2:33">
      <c r="C101" t="s">
        <v>195</v>
      </c>
      <c r="I101" s="7">
        <v>138032.95000000001</v>
      </c>
      <c r="K101" s="7">
        <v>169169.31084666669</v>
      </c>
      <c r="M101" s="7">
        <v>203819.43728233335</v>
      </c>
      <c r="O101" s="7">
        <v>243246.86984148333</v>
      </c>
      <c r="Q101" s="7">
        <v>287231.37950288516</v>
      </c>
      <c r="S101" t="s">
        <v>132</v>
      </c>
      <c r="Y101" s="94">
        <v>0.10541780024509805</v>
      </c>
      <c r="AA101" s="94">
        <v>0.1018332282337277</v>
      </c>
      <c r="AC101" s="94">
        <v>9.8376190777232822E-2</v>
      </c>
      <c r="AE101" s="94">
        <v>9.5041831172286775E-2</v>
      </c>
      <c r="AG101" s="94">
        <v>9.1825494909526961E-2</v>
      </c>
    </row>
    <row r="102" spans="2:33">
      <c r="S102" t="s">
        <v>134</v>
      </c>
      <c r="Y102" s="94">
        <v>0</v>
      </c>
      <c r="AA102" s="94">
        <v>0</v>
      </c>
      <c r="AC102" s="94">
        <v>0</v>
      </c>
      <c r="AE102" s="94">
        <v>0</v>
      </c>
      <c r="AG102" s="94">
        <v>0</v>
      </c>
    </row>
    <row r="103" spans="2:33">
      <c r="B103" s="6" t="s">
        <v>112</v>
      </c>
      <c r="I103" s="7">
        <v>661571.10666666669</v>
      </c>
      <c r="K103" s="7">
        <v>732572.16531333339</v>
      </c>
      <c r="M103" s="7">
        <v>809703.42328300001</v>
      </c>
      <c r="O103" s="7">
        <v>894397.82566137007</v>
      </c>
      <c r="Q103" s="7">
        <v>986615.44845347758</v>
      </c>
      <c r="S103" t="s">
        <v>135</v>
      </c>
      <c r="Y103" s="94">
        <v>0.30342920241013077</v>
      </c>
      <c r="AA103" s="94">
        <v>0.29069051842228116</v>
      </c>
      <c r="AC103" s="94">
        <v>0.27854191346689589</v>
      </c>
      <c r="AE103" s="94">
        <v>0.26695352316452675</v>
      </c>
      <c r="AG103" s="94">
        <v>0.25589709961224305</v>
      </c>
    </row>
    <row r="104" spans="2:33">
      <c r="B104" s="6"/>
      <c r="S104" t="s">
        <v>47</v>
      </c>
      <c r="Y104" s="94">
        <v>0.21144753370098041</v>
      </c>
      <c r="AA104" s="94">
        <v>0.24355654595856985</v>
      </c>
      <c r="AC104" s="94">
        <v>0.2757923380169639</v>
      </c>
      <c r="AE104" s="94">
        <v>0.30934438024680527</v>
      </c>
      <c r="AG104" s="94">
        <v>0.34330902976835476</v>
      </c>
    </row>
    <row r="105" spans="2:33">
      <c r="B105" s="6" t="s">
        <v>196</v>
      </c>
      <c r="I105" s="7">
        <v>0</v>
      </c>
      <c r="K105" s="7">
        <v>0</v>
      </c>
      <c r="M105" s="7">
        <v>0</v>
      </c>
      <c r="O105" s="7">
        <v>0</v>
      </c>
      <c r="Q105" s="7">
        <v>0</v>
      </c>
      <c r="S105" t="s">
        <v>114</v>
      </c>
      <c r="Y105" s="94">
        <v>9.1981668709150366E-2</v>
      </c>
      <c r="AA105" s="94">
        <v>4.7133972463711316E-2</v>
      </c>
      <c r="AC105" s="94">
        <v>2.7495754499319847E-3</v>
      </c>
      <c r="AE105" s="94">
        <v>-4.2390857082278521E-2</v>
      </c>
      <c r="AG105" s="94">
        <v>-8.7411930156111706E-2</v>
      </c>
    </row>
    <row r="106" spans="2:33">
      <c r="B106" s="6"/>
      <c r="S106" t="s">
        <v>38</v>
      </c>
      <c r="Y106" s="94">
        <v>5.3692961680438733</v>
      </c>
      <c r="AA106" s="94">
        <v>6.9000949747871596</v>
      </c>
      <c r="AC106" s="94">
        <v>8.5386161398269866</v>
      </c>
      <c r="AE106" s="94">
        <v>10.347848632063195</v>
      </c>
      <c r="AG106" s="94">
        <v>12.357418459570544</v>
      </c>
    </row>
    <row r="107" spans="2:33">
      <c r="B107" s="6" t="s">
        <v>113</v>
      </c>
      <c r="I107" s="7">
        <v>0</v>
      </c>
      <c r="K107" s="7">
        <v>0</v>
      </c>
      <c r="M107" s="7">
        <v>0</v>
      </c>
      <c r="O107" s="7">
        <v>0</v>
      </c>
      <c r="Q107" s="7">
        <v>0</v>
      </c>
      <c r="S107" t="s">
        <v>39</v>
      </c>
      <c r="Y107" s="7">
        <v>484694.26693333336</v>
      </c>
      <c r="AA107" s="7">
        <v>523833.21786666673</v>
      </c>
      <c r="AC107" s="7">
        <v>584729.21390066668</v>
      </c>
      <c r="AE107" s="7">
        <v>636443.32338655344</v>
      </c>
      <c r="AG107" s="7">
        <v>687940.26928392565</v>
      </c>
    </row>
    <row r="108" spans="2:33">
      <c r="B108" s="6"/>
      <c r="S108" t="s">
        <v>44</v>
      </c>
      <c r="Y108" s="7">
        <v>484694.26693333336</v>
      </c>
      <c r="AA108" s="7">
        <v>523833.21786666673</v>
      </c>
      <c r="AC108" s="7">
        <v>584729.21390066668</v>
      </c>
      <c r="AE108" s="7">
        <v>636443.32338655344</v>
      </c>
      <c r="AG108" s="7">
        <v>687940.26928392565</v>
      </c>
    </row>
    <row r="109" spans="2:33">
      <c r="B109" s="6" t="s">
        <v>162</v>
      </c>
      <c r="I109" s="7">
        <v>661571.10666666669</v>
      </c>
      <c r="K109" s="7">
        <v>732572.16531333339</v>
      </c>
      <c r="M109" s="7">
        <v>809703.42328300001</v>
      </c>
      <c r="O109" s="7">
        <v>894397.82566137007</v>
      </c>
      <c r="Q109" s="7">
        <v>986615.44845347758</v>
      </c>
      <c r="S109" t="s">
        <v>51</v>
      </c>
      <c r="Y109" s="94">
        <v>1.0134361315359477</v>
      </c>
      <c r="AA109" s="94">
        <v>1.0546992557700163</v>
      </c>
      <c r="AC109" s="94">
        <v>1.0956266153273007</v>
      </c>
      <c r="AE109" s="94">
        <v>1.1374326882545651</v>
      </c>
      <c r="AG109" s="94">
        <v>1.1792374250656388</v>
      </c>
    </row>
    <row r="111" spans="2:33" ht="6.75" customHeight="1">
      <c r="B111" s="32"/>
      <c r="C111" s="32"/>
      <c r="D111" s="32"/>
      <c r="E111" s="32"/>
      <c r="F111" s="32"/>
      <c r="G111" s="32"/>
      <c r="H111" s="32"/>
      <c r="I111" s="25"/>
      <c r="J111" s="32"/>
      <c r="K111" s="25"/>
      <c r="L111" s="32"/>
      <c r="M111" s="25"/>
      <c r="N111" s="32"/>
      <c r="O111" s="25"/>
      <c r="P111" s="32"/>
      <c r="Q111" s="25"/>
      <c r="S111" s="32"/>
      <c r="T111" s="32"/>
      <c r="U111" s="32"/>
      <c r="V111" s="32"/>
      <c r="W111" s="32"/>
      <c r="X111" s="32"/>
      <c r="Y111" s="25"/>
      <c r="Z111" s="32"/>
      <c r="AA111" s="25"/>
      <c r="AB111" s="32"/>
      <c r="AC111" s="25"/>
      <c r="AD111" s="32"/>
      <c r="AE111" s="25"/>
      <c r="AF111" s="32"/>
      <c r="AG111" s="25"/>
    </row>
    <row r="114" spans="2:33" ht="26">
      <c r="B114" s="5" t="s">
        <v>198</v>
      </c>
      <c r="S114" s="5">
        <v>0</v>
      </c>
    </row>
    <row r="116" spans="2:33" ht="26">
      <c r="B116" s="5" t="s">
        <v>179</v>
      </c>
      <c r="O116" s="7" t="s">
        <v>284</v>
      </c>
      <c r="Q116" s="7" t="s">
        <v>286</v>
      </c>
      <c r="S116" s="5" t="s">
        <v>200</v>
      </c>
      <c r="AE116" s="7" t="s">
        <v>284</v>
      </c>
      <c r="AG116" s="7" t="s">
        <v>286</v>
      </c>
    </row>
    <row r="117" spans="2:33" ht="6.75" customHeight="1">
      <c r="B117" s="43"/>
      <c r="C117" s="32"/>
      <c r="D117" s="32"/>
      <c r="E117" s="32"/>
      <c r="F117" s="32"/>
      <c r="G117" s="32"/>
      <c r="H117" s="32"/>
      <c r="I117" s="25"/>
      <c r="J117" s="32"/>
      <c r="K117" s="25"/>
      <c r="L117" s="32"/>
      <c r="M117" s="25"/>
      <c r="N117" s="32"/>
      <c r="O117" s="25"/>
      <c r="P117" s="32"/>
      <c r="Q117" s="25"/>
      <c r="S117" s="43"/>
      <c r="T117" s="32"/>
      <c r="U117" s="32"/>
      <c r="V117" s="32"/>
      <c r="W117" s="32"/>
      <c r="X117" s="32"/>
      <c r="Y117" s="25"/>
      <c r="Z117" s="32"/>
      <c r="AA117" s="25"/>
      <c r="AB117" s="32"/>
      <c r="AC117" s="25"/>
      <c r="AD117" s="32"/>
      <c r="AE117" s="25"/>
      <c r="AF117" s="32"/>
      <c r="AG117" s="25"/>
    </row>
    <row r="118" spans="2:33" ht="17.25" customHeight="1">
      <c r="B118" s="5"/>
      <c r="S118" s="5"/>
    </row>
    <row r="119" spans="2:33" ht="15" thickBot="1">
      <c r="I119" s="33"/>
      <c r="J119" s="34"/>
      <c r="K119" s="33"/>
      <c r="L119" s="34"/>
      <c r="M119" s="35" t="s">
        <v>58</v>
      </c>
      <c r="N119" s="34"/>
      <c r="O119" s="33"/>
      <c r="P119" s="34"/>
      <c r="Q119" s="33"/>
      <c r="Y119" s="33"/>
      <c r="Z119" s="34"/>
      <c r="AA119" s="33"/>
      <c r="AB119" s="34"/>
      <c r="AC119" s="35" t="s">
        <v>59</v>
      </c>
      <c r="AD119" s="34"/>
      <c r="AE119" s="33"/>
      <c r="AF119" s="34"/>
      <c r="AG119" s="33"/>
    </row>
    <row r="120" spans="2:33">
      <c r="B120" s="6" t="s">
        <v>180</v>
      </c>
      <c r="I120" s="8">
        <v>2019</v>
      </c>
      <c r="J120" s="8"/>
      <c r="K120" s="8">
        <v>2020</v>
      </c>
      <c r="L120" s="8"/>
      <c r="M120" s="8">
        <v>2021</v>
      </c>
      <c r="N120" s="8"/>
      <c r="O120" s="8">
        <v>2022</v>
      </c>
      <c r="P120" s="8"/>
      <c r="Q120" s="8">
        <v>2023</v>
      </c>
      <c r="S120" s="6" t="s">
        <v>201</v>
      </c>
      <c r="Y120" s="10">
        <v>43465</v>
      </c>
      <c r="Z120" s="8"/>
      <c r="AA120" s="10">
        <v>43830</v>
      </c>
      <c r="AB120" s="8"/>
      <c r="AC120" s="10">
        <v>44196</v>
      </c>
      <c r="AD120" s="8"/>
      <c r="AE120" s="10">
        <v>44561</v>
      </c>
      <c r="AF120" s="8"/>
      <c r="AG120" s="10">
        <v>44926</v>
      </c>
    </row>
    <row r="122" spans="2:33">
      <c r="C122" t="s">
        <v>86</v>
      </c>
      <c r="I122" s="7">
        <v>652800</v>
      </c>
      <c r="K122" s="7">
        <v>694579.20000000007</v>
      </c>
      <c r="M122" s="7">
        <v>739032.26880000008</v>
      </c>
      <c r="O122" s="7">
        <v>786330.33400320017</v>
      </c>
      <c r="Q122" s="7">
        <v>836655.47537940508</v>
      </c>
      <c r="T122" t="s">
        <v>281</v>
      </c>
      <c r="Y122" s="7">
        <v>1653023.7145333332</v>
      </c>
      <c r="AA122" s="7">
        <v>2347051.0119266664</v>
      </c>
      <c r="AC122" s="7">
        <v>3138499.4562569996</v>
      </c>
      <c r="AE122" s="7">
        <v>4021326.3006897364</v>
      </c>
      <c r="AG122" s="7">
        <v>4999960.9571414823</v>
      </c>
    </row>
    <row r="123" spans="2:33">
      <c r="C123" t="s">
        <v>181</v>
      </c>
      <c r="I123" s="7">
        <v>0</v>
      </c>
      <c r="K123" s="7">
        <v>0</v>
      </c>
      <c r="M123" s="7">
        <v>0</v>
      </c>
      <c r="O123" s="7">
        <v>0</v>
      </c>
      <c r="Q123" s="7">
        <v>0</v>
      </c>
      <c r="T123" t="s">
        <v>165</v>
      </c>
      <c r="Y123" s="7">
        <v>0</v>
      </c>
      <c r="AA123" s="7">
        <v>0</v>
      </c>
      <c r="AC123" s="7">
        <v>0</v>
      </c>
      <c r="AE123" s="7">
        <v>0</v>
      </c>
      <c r="AG123" s="7">
        <v>0</v>
      </c>
    </row>
    <row r="124" spans="2:33">
      <c r="C124" t="s">
        <v>110</v>
      </c>
      <c r="I124" s="7">
        <v>0</v>
      </c>
      <c r="K124" s="7">
        <v>0</v>
      </c>
      <c r="M124" s="7">
        <v>0</v>
      </c>
      <c r="O124" s="7">
        <v>0</v>
      </c>
      <c r="Q124" s="7">
        <v>0</v>
      </c>
      <c r="T124" t="s">
        <v>202</v>
      </c>
      <c r="Y124" s="7">
        <v>1725710</v>
      </c>
      <c r="AA124" s="7">
        <v>1725710</v>
      </c>
      <c r="AC124" s="7">
        <v>1725710</v>
      </c>
      <c r="AE124" s="7">
        <v>1725710</v>
      </c>
      <c r="AG124" s="7">
        <v>1725710</v>
      </c>
    </row>
    <row r="125" spans="2:33" ht="15" thickBot="1">
      <c r="C125" t="s">
        <v>125</v>
      </c>
      <c r="I125" s="54">
        <v>0</v>
      </c>
      <c r="K125" s="54">
        <v>0</v>
      </c>
      <c r="M125" s="54">
        <v>0</v>
      </c>
      <c r="O125" s="54">
        <v>0</v>
      </c>
      <c r="Q125" s="54">
        <v>0</v>
      </c>
      <c r="T125" t="s">
        <v>203</v>
      </c>
      <c r="Y125" s="54">
        <v>5000</v>
      </c>
      <c r="AA125" s="54">
        <v>5000</v>
      </c>
      <c r="AC125" s="54">
        <v>5000</v>
      </c>
      <c r="AE125" s="54">
        <v>5000</v>
      </c>
      <c r="AG125" s="54">
        <v>5000</v>
      </c>
    </row>
    <row r="126" spans="2:33" ht="15" thickTop="1"/>
    <row r="127" spans="2:33">
      <c r="C127" t="s">
        <v>182</v>
      </c>
      <c r="I127" s="7">
        <v>652800</v>
      </c>
      <c r="K127" s="7">
        <v>694579.20000000007</v>
      </c>
      <c r="M127" s="7">
        <v>739032.26880000008</v>
      </c>
      <c r="O127" s="7">
        <v>786330.33400320017</v>
      </c>
      <c r="Q127" s="7">
        <v>836655.47537940508</v>
      </c>
      <c r="T127" t="s">
        <v>166</v>
      </c>
      <c r="Y127" s="7">
        <v>3383733.7145333332</v>
      </c>
      <c r="AA127" s="7">
        <v>4077761.0119266664</v>
      </c>
      <c r="AC127" s="7">
        <v>4869209.4562569996</v>
      </c>
      <c r="AE127" s="7">
        <v>5752036.3006897364</v>
      </c>
      <c r="AG127" s="7">
        <v>6730670.9571414823</v>
      </c>
    </row>
    <row r="129" spans="2:33">
      <c r="B129" s="6" t="s">
        <v>183</v>
      </c>
      <c r="S129" s="6" t="s">
        <v>204</v>
      </c>
    </row>
    <row r="131" spans="2:33">
      <c r="C131" t="s">
        <v>184</v>
      </c>
      <c r="I131" s="7">
        <v>103941.49546666667</v>
      </c>
      <c r="K131" s="7">
        <v>98757.34613333334</v>
      </c>
      <c r="M131" s="7">
        <v>78518.695600000006</v>
      </c>
      <c r="O131" s="7">
        <v>71979.687533333345</v>
      </c>
      <c r="Q131" s="7">
        <v>68546.330866666685</v>
      </c>
      <c r="T131" t="s">
        <v>205</v>
      </c>
      <c r="Y131" s="7">
        <v>220875.67786666667</v>
      </c>
      <c r="AA131" s="7">
        <v>166821.08506666665</v>
      </c>
      <c r="AC131" s="7">
        <v>145094.2761333333</v>
      </c>
      <c r="AE131" s="7">
        <v>129447.9219333333</v>
      </c>
      <c r="AG131" s="7">
        <v>117693.4777333333</v>
      </c>
    </row>
    <row r="132" spans="2:33" ht="15" thickBot="1">
      <c r="C132" t="s">
        <v>185</v>
      </c>
      <c r="I132" s="54">
        <v>-28957.322133333335</v>
      </c>
      <c r="K132" s="54">
        <v>-54054.592800000013</v>
      </c>
      <c r="M132" s="54">
        <v>-21726.808933333348</v>
      </c>
      <c r="O132" s="54">
        <v>-15646.354200000002</v>
      </c>
      <c r="Q132" s="54">
        <v>-11754.444199999998</v>
      </c>
      <c r="T132" t="s">
        <v>206</v>
      </c>
      <c r="Y132" s="54">
        <v>420078</v>
      </c>
      <c r="AA132" s="54">
        <v>420078</v>
      </c>
      <c r="AC132" s="54">
        <v>420078</v>
      </c>
      <c r="AE132" s="54">
        <v>420078</v>
      </c>
      <c r="AG132" s="54">
        <v>420078</v>
      </c>
    </row>
    <row r="133" spans="2:33" ht="15" thickTop="1"/>
    <row r="134" spans="2:33">
      <c r="C134" t="s">
        <v>186</v>
      </c>
      <c r="I134" s="7">
        <v>74984.17333333334</v>
      </c>
      <c r="K134" s="7">
        <v>44702.753333333327</v>
      </c>
      <c r="M134" s="7">
        <v>56791.886666666658</v>
      </c>
      <c r="O134" s="7">
        <v>56333.333333333343</v>
      </c>
      <c r="Q134" s="7">
        <v>56791.886666666687</v>
      </c>
      <c r="T134" t="s">
        <v>167</v>
      </c>
      <c r="Y134" s="7">
        <v>640953.67786666669</v>
      </c>
      <c r="AA134" s="7">
        <v>586899.08506666659</v>
      </c>
      <c r="AC134" s="7">
        <v>565172.27613333333</v>
      </c>
      <c r="AE134" s="7">
        <v>549525.92193333327</v>
      </c>
      <c r="AG134" s="7">
        <v>537771.47773333336</v>
      </c>
    </row>
    <row r="136" spans="2:33">
      <c r="C136" t="s">
        <v>164</v>
      </c>
      <c r="I136" s="7">
        <v>577815.82666666666</v>
      </c>
      <c r="K136" s="7">
        <v>649876.44666666677</v>
      </c>
      <c r="M136" s="7">
        <v>682240.38213333348</v>
      </c>
      <c r="O136" s="7">
        <v>729997.0006698668</v>
      </c>
      <c r="Q136" s="7">
        <v>779863.58871273836</v>
      </c>
      <c r="S136" s="6" t="s">
        <v>169</v>
      </c>
      <c r="Y136" s="7">
        <v>2742780.0366666666</v>
      </c>
      <c r="AA136" s="7">
        <v>3490861.92686</v>
      </c>
      <c r="AC136" s="7">
        <v>4304037.1801236663</v>
      </c>
      <c r="AE136" s="7">
        <v>5202510.378756403</v>
      </c>
      <c r="AG136" s="7">
        <v>6192899.4794081487</v>
      </c>
    </row>
    <row r="137" spans="2:33">
      <c r="S137" s="6"/>
    </row>
    <row r="138" spans="2:33" ht="6.75" customHeight="1">
      <c r="S138" s="32"/>
      <c r="T138" s="32"/>
      <c r="U138" s="32"/>
      <c r="V138" s="32"/>
      <c r="W138" s="32"/>
      <c r="X138" s="32"/>
      <c r="Y138" s="25"/>
      <c r="Z138" s="32"/>
      <c r="AA138" s="25"/>
      <c r="AB138" s="32"/>
      <c r="AC138" s="25"/>
      <c r="AD138" s="32"/>
      <c r="AE138" s="25"/>
      <c r="AF138" s="32"/>
      <c r="AG138" s="25"/>
    </row>
    <row r="139" spans="2:33" ht="26">
      <c r="C139" t="s">
        <v>163</v>
      </c>
      <c r="S139" s="23" t="s">
        <v>53</v>
      </c>
      <c r="X139" s="5"/>
      <c r="Y139"/>
      <c r="AA139"/>
      <c r="AC139"/>
      <c r="AE139" t="s">
        <v>284</v>
      </c>
      <c r="AG139" t="s">
        <v>286</v>
      </c>
    </row>
    <row r="140" spans="2:33" ht="15.75" customHeight="1">
      <c r="D140" t="s">
        <v>187</v>
      </c>
      <c r="I140" s="7">
        <v>63816.740000000005</v>
      </c>
      <c r="K140" s="7">
        <v>65731.242200000008</v>
      </c>
      <c r="M140" s="7">
        <v>67703.179466000016</v>
      </c>
      <c r="O140" s="7">
        <v>69734.274849980022</v>
      </c>
      <c r="Q140" s="7">
        <v>71826.303095479423</v>
      </c>
      <c r="S140" s="5"/>
    </row>
    <row r="141" spans="2:33" ht="15" thickBot="1">
      <c r="D141" t="s">
        <v>188</v>
      </c>
      <c r="I141" s="7">
        <v>0</v>
      </c>
      <c r="K141" s="7">
        <v>0</v>
      </c>
      <c r="M141" s="7">
        <v>0</v>
      </c>
      <c r="O141" s="7">
        <v>0</v>
      </c>
      <c r="Q141" s="7">
        <v>0</v>
      </c>
      <c r="Y141" s="33"/>
      <c r="Z141" s="34"/>
      <c r="AA141" s="33"/>
      <c r="AB141" s="34"/>
      <c r="AC141" s="35" t="s">
        <v>59</v>
      </c>
      <c r="AD141" s="34"/>
      <c r="AE141" s="33"/>
      <c r="AF141" s="34"/>
      <c r="AG141" s="33"/>
    </row>
    <row r="142" spans="2:33">
      <c r="D142" t="s">
        <v>189</v>
      </c>
      <c r="I142" s="7">
        <v>0</v>
      </c>
      <c r="K142" s="7">
        <v>0</v>
      </c>
      <c r="M142" s="7">
        <v>0</v>
      </c>
      <c r="O142" s="7">
        <v>0</v>
      </c>
      <c r="Q142" s="7">
        <v>0</v>
      </c>
      <c r="S142" s="22" t="s">
        <v>74</v>
      </c>
      <c r="Y142" s="10">
        <v>43465</v>
      </c>
      <c r="Z142" s="8"/>
      <c r="AA142" s="10">
        <v>43830</v>
      </c>
      <c r="AB142" s="8"/>
      <c r="AC142" s="10">
        <v>44196</v>
      </c>
      <c r="AD142" s="8"/>
      <c r="AE142" s="10">
        <v>44561</v>
      </c>
      <c r="AF142" s="8"/>
      <c r="AG142" s="10">
        <v>44926</v>
      </c>
    </row>
    <row r="143" spans="2:33">
      <c r="D143" t="s">
        <v>190</v>
      </c>
      <c r="I143" s="7">
        <v>0</v>
      </c>
      <c r="K143" s="7">
        <v>0</v>
      </c>
      <c r="M143" s="7">
        <v>0</v>
      </c>
      <c r="O143" s="7">
        <v>0</v>
      </c>
      <c r="Q143" s="7">
        <v>0</v>
      </c>
      <c r="Y143"/>
      <c r="AA143"/>
      <c r="AC143"/>
      <c r="AE143"/>
      <c r="AG143"/>
    </row>
    <row r="144" spans="2:33">
      <c r="D144" t="s">
        <v>111</v>
      </c>
      <c r="I144" s="7">
        <v>5000</v>
      </c>
      <c r="K144" s="7">
        <v>5000</v>
      </c>
      <c r="M144" s="7">
        <v>5000</v>
      </c>
      <c r="O144" s="7">
        <v>5000</v>
      </c>
      <c r="Q144" s="7">
        <v>5000</v>
      </c>
      <c r="S144" t="s">
        <v>115</v>
      </c>
      <c r="Y144" s="94">
        <v>0.23800669075649086</v>
      </c>
      <c r="AA144" s="94">
        <v>0.19897068820042621</v>
      </c>
      <c r="AC144" s="94">
        <v>0.17170675760258319</v>
      </c>
      <c r="AE144" s="94">
        <v>0.15114440467318452</v>
      </c>
      <c r="AG144" s="94">
        <v>0.13509915317717441</v>
      </c>
    </row>
    <row r="145" spans="2:33" ht="15" thickBot="1">
      <c r="D145" t="s">
        <v>191</v>
      </c>
      <c r="I145" s="54">
        <v>0</v>
      </c>
      <c r="K145" s="54">
        <v>0</v>
      </c>
      <c r="M145" s="54">
        <v>0</v>
      </c>
      <c r="O145" s="54">
        <v>0</v>
      </c>
      <c r="Q145" s="54">
        <v>0</v>
      </c>
      <c r="S145" t="s">
        <v>116</v>
      </c>
      <c r="Y145" s="94">
        <v>0.23800669075649086</v>
      </c>
      <c r="AA145" s="94">
        <v>0.19897068820042621</v>
      </c>
      <c r="AC145" s="94">
        <v>0.17170675760258319</v>
      </c>
      <c r="AE145" s="94">
        <v>0.15114440467318452</v>
      </c>
      <c r="AG145" s="94">
        <v>0.13509915317717441</v>
      </c>
    </row>
    <row r="146" spans="2:33" ht="15" thickTop="1">
      <c r="S146" t="s">
        <v>242</v>
      </c>
      <c r="Y146" s="94">
        <v>9.1148395663484556E-3</v>
      </c>
      <c r="AA146" s="94">
        <v>7.1615550897732826E-3</v>
      </c>
      <c r="AC146" s="94">
        <v>5.8085000091197365E-3</v>
      </c>
      <c r="AE146" s="94">
        <v>4.805372441366652E-3</v>
      </c>
      <c r="AG146" s="94">
        <v>4.0368812836583026E-3</v>
      </c>
    </row>
    <row r="147" spans="2:33">
      <c r="D147" t="s">
        <v>192</v>
      </c>
      <c r="I147" s="7">
        <v>68816.740000000005</v>
      </c>
      <c r="K147" s="7">
        <v>70731.242200000008</v>
      </c>
      <c r="M147" s="7">
        <v>72703.179466000016</v>
      </c>
      <c r="O147" s="7">
        <v>74734.274849980022</v>
      </c>
      <c r="Q147" s="7">
        <v>76826.303095479423</v>
      </c>
      <c r="S147" t="s">
        <v>48</v>
      </c>
      <c r="Y147" s="94">
        <v>6.2879615430085051E-2</v>
      </c>
      <c r="AA147" s="94">
        <v>4.2077204812120642E-2</v>
      </c>
      <c r="AC147" s="94">
        <v>2.5017909575693238E-2</v>
      </c>
      <c r="AE147" s="94">
        <v>1.7899489409995757E-2</v>
      </c>
      <c r="AG147" s="94">
        <v>1.3709373223957167E-2</v>
      </c>
    </row>
    <row r="148" spans="2:33">
      <c r="S148" t="s">
        <v>207</v>
      </c>
      <c r="Y148" s="97">
        <v>7465</v>
      </c>
      <c r="AA148" s="7">
        <v>41779.20000000007</v>
      </c>
      <c r="AC148" s="7">
        <v>44453.068800000008</v>
      </c>
      <c r="AE148" s="7">
        <v>47298.065203200094</v>
      </c>
      <c r="AG148" s="7">
        <v>50325.141376204905</v>
      </c>
    </row>
    <row r="149" spans="2:33">
      <c r="C149" t="s">
        <v>193</v>
      </c>
      <c r="I149" s="7">
        <v>508999.08666666667</v>
      </c>
      <c r="K149" s="7">
        <v>579145.20446666679</v>
      </c>
      <c r="M149" s="7">
        <v>609537.20266733342</v>
      </c>
      <c r="O149" s="7">
        <v>655262.72581988678</v>
      </c>
      <c r="Q149" s="7">
        <v>703037.28561725898</v>
      </c>
      <c r="S149" t="s">
        <v>118</v>
      </c>
      <c r="Y149" s="97">
        <v>647032.03666666662</v>
      </c>
      <c r="AA149" s="7">
        <v>748081.89019333338</v>
      </c>
      <c r="AC149" s="7">
        <v>813175.25326366629</v>
      </c>
      <c r="AE149" s="7">
        <v>898473.19863273669</v>
      </c>
      <c r="AG149" s="7">
        <v>990389.10065174568</v>
      </c>
    </row>
    <row r="150" spans="2:33">
      <c r="S150" t="s">
        <v>119</v>
      </c>
      <c r="Y150" s="94">
        <v>-1.0557653820656182E-2</v>
      </c>
      <c r="AA150" s="94">
        <v>-1.9707957647851777E-2</v>
      </c>
      <c r="AC150" s="94">
        <v>-6.2239095640418025E-3</v>
      </c>
      <c r="AE150" s="94">
        <v>-3.6352739405356256E-3</v>
      </c>
      <c r="AG150" s="94">
        <v>-2.2593792888904829E-3</v>
      </c>
    </row>
    <row r="151" spans="2:33">
      <c r="B151" s="6" t="s">
        <v>168</v>
      </c>
      <c r="S151" t="s">
        <v>280</v>
      </c>
      <c r="Y151" s="94">
        <v>5.0325927764791924E-2</v>
      </c>
      <c r="AA151" s="94">
        <v>4.8393975260609567E-2</v>
      </c>
      <c r="AC151" s="94">
        <v>4.7313264749837103E-2</v>
      </c>
      <c r="AE151" s="94">
        <v>4.6748676140264907E-2</v>
      </c>
      <c r="AG151" s="94">
        <v>4.6400206557518489E-2</v>
      </c>
    </row>
    <row r="152" spans="2:33">
      <c r="S152" t="s">
        <v>124</v>
      </c>
      <c r="Y152" s="94">
        <v>0</v>
      </c>
      <c r="AA152" s="94">
        <v>0</v>
      </c>
      <c r="AC152" s="94">
        <v>0</v>
      </c>
      <c r="AE152" s="94">
        <v>0</v>
      </c>
      <c r="AG152" s="94">
        <v>0</v>
      </c>
    </row>
    <row r="153" spans="2:33">
      <c r="C153" t="s">
        <v>279</v>
      </c>
      <c r="I153" s="7">
        <v>138032.95000000001</v>
      </c>
      <c r="K153" s="7">
        <v>168936.68572666668</v>
      </c>
      <c r="M153" s="7">
        <v>203638.05059633334</v>
      </c>
      <c r="O153" s="7">
        <v>243210.47281285</v>
      </c>
      <c r="Q153" s="7">
        <v>287351.81503448682</v>
      </c>
      <c r="S153" t="s">
        <v>127</v>
      </c>
      <c r="Y153" s="94">
        <v>-1.0557653820656182E-2</v>
      </c>
      <c r="AA153" s="94">
        <v>-1.9707957647851777E-2</v>
      </c>
      <c r="AC153" s="94">
        <v>-6.2239095640418025E-3</v>
      </c>
      <c r="AE153" s="94">
        <v>-3.6352739405356256E-3</v>
      </c>
      <c r="AG153" s="94">
        <v>-2.2593792888904829E-3</v>
      </c>
    </row>
    <row r="154" spans="2:33" ht="15" thickBot="1">
      <c r="C154" t="s">
        <v>194</v>
      </c>
      <c r="I154" s="54">
        <v>0</v>
      </c>
      <c r="K154" s="54">
        <v>0</v>
      </c>
      <c r="M154" s="54">
        <v>0</v>
      </c>
      <c r="O154" s="54">
        <v>0</v>
      </c>
      <c r="Q154" s="54">
        <v>0</v>
      </c>
      <c r="S154" t="s">
        <v>128</v>
      </c>
      <c r="Y154" s="94">
        <v>0.38774620849744734</v>
      </c>
      <c r="AA154" s="94">
        <v>0.25005808654533168</v>
      </c>
      <c r="AC154" s="94">
        <v>0.1800772260790392</v>
      </c>
      <c r="AE154" s="94">
        <v>0.13665290524648019</v>
      </c>
      <c r="AG154" s="94">
        <v>0.10755513539865352</v>
      </c>
    </row>
    <row r="155" spans="2:33" ht="15" thickTop="1">
      <c r="S155" t="s">
        <v>73</v>
      </c>
      <c r="Y155" s="94">
        <v>0.1148654616013072</v>
      </c>
      <c r="AA155" s="94">
        <v>6.4359475972406488E-2</v>
      </c>
      <c r="AC155" s="94">
        <v>7.6846288131480645E-2</v>
      </c>
      <c r="AE155" s="94">
        <v>7.164079890768156E-2</v>
      </c>
      <c r="AG155" s="94">
        <v>6.787965696502829E-2</v>
      </c>
    </row>
    <row r="156" spans="2:33">
      <c r="C156" t="s">
        <v>195</v>
      </c>
      <c r="I156" s="7">
        <v>138032.95000000001</v>
      </c>
      <c r="K156" s="7">
        <v>168936.68572666668</v>
      </c>
      <c r="M156" s="7">
        <v>203638.05059633334</v>
      </c>
      <c r="O156" s="7">
        <v>243210.47281285</v>
      </c>
      <c r="Q156" s="7">
        <v>287351.81503448682</v>
      </c>
      <c r="S156" t="s">
        <v>132</v>
      </c>
      <c r="Y156" s="94">
        <v>0.10541780024509805</v>
      </c>
      <c r="AA156" s="94">
        <v>0.1018332282337277</v>
      </c>
      <c r="AC156" s="94">
        <v>9.8376190777232822E-2</v>
      </c>
      <c r="AE156" s="94">
        <v>9.5041831172286775E-2</v>
      </c>
      <c r="AG156" s="94">
        <v>9.1825494909526961E-2</v>
      </c>
    </row>
    <row r="157" spans="2:33">
      <c r="S157" t="s">
        <v>134</v>
      </c>
      <c r="Y157" s="94">
        <v>0</v>
      </c>
      <c r="AA157" s="94">
        <v>0</v>
      </c>
      <c r="AC157" s="94">
        <v>0</v>
      </c>
      <c r="AE157" s="94">
        <v>0</v>
      </c>
      <c r="AG157" s="94">
        <v>0</v>
      </c>
    </row>
    <row r="158" spans="2:33">
      <c r="B158" s="6" t="s">
        <v>112</v>
      </c>
      <c r="I158" s="7">
        <v>647032.03666666662</v>
      </c>
      <c r="K158" s="7">
        <v>748081.8901933335</v>
      </c>
      <c r="M158" s="7">
        <v>813175.25326366676</v>
      </c>
      <c r="O158" s="7">
        <v>898473.19863273681</v>
      </c>
      <c r="Q158" s="7">
        <v>990389.1006517458</v>
      </c>
      <c r="S158" t="s">
        <v>135</v>
      </c>
      <c r="Y158" s="94">
        <v>0.32570106209150329</v>
      </c>
      <c r="AA158" s="94">
        <v>0.26802593243986189</v>
      </c>
      <c r="AC158" s="94">
        <v>0.27359866968594626</v>
      </c>
      <c r="AE158" s="94">
        <v>0.26172446125225513</v>
      </c>
      <c r="AG158" s="94">
        <v>0.25153064678408221</v>
      </c>
    </row>
    <row r="159" spans="2:33">
      <c r="B159" s="6"/>
      <c r="S159" t="s">
        <v>47</v>
      </c>
      <c r="Y159" s="94">
        <v>0.21144753370098041</v>
      </c>
      <c r="AA159" s="94">
        <v>0.2432216307753913</v>
      </c>
      <c r="AC159" s="94">
        <v>0.27554689990328785</v>
      </c>
      <c r="AE159" s="94">
        <v>0.30929809304782613</v>
      </c>
      <c r="AG159" s="94">
        <v>0.34345297854433932</v>
      </c>
    </row>
    <row r="160" spans="2:33">
      <c r="B160" s="6" t="s">
        <v>196</v>
      </c>
      <c r="I160" s="7">
        <v>0</v>
      </c>
      <c r="K160" s="7">
        <v>0</v>
      </c>
      <c r="M160" s="7">
        <v>0</v>
      </c>
      <c r="O160" s="7">
        <v>0</v>
      </c>
      <c r="Q160" s="7">
        <v>0</v>
      </c>
      <c r="S160" t="s">
        <v>114</v>
      </c>
      <c r="Y160" s="94">
        <v>0.11425352839052288</v>
      </c>
      <c r="AA160" s="94">
        <v>2.480430166447059E-2</v>
      </c>
      <c r="AC160" s="94">
        <v>-1.9482302173415844E-3</v>
      </c>
      <c r="AE160" s="94">
        <v>-4.7573631795571003E-2</v>
      </c>
      <c r="AG160" s="94">
        <v>-9.1922331760257103E-2</v>
      </c>
    </row>
    <row r="161" spans="2:33">
      <c r="B161" s="6"/>
      <c r="S161" t="s">
        <v>38</v>
      </c>
      <c r="Y161" s="94">
        <v>5.279217252946677</v>
      </c>
      <c r="AA161" s="94">
        <v>6.9479764335694414</v>
      </c>
      <c r="AC161" s="94">
        <v>8.6154428691549505</v>
      </c>
      <c r="AE161" s="94">
        <v>10.467270188916684</v>
      </c>
      <c r="AG161" s="94">
        <v>12.515857080243002</v>
      </c>
    </row>
    <row r="162" spans="2:33">
      <c r="B162" s="6" t="s">
        <v>113</v>
      </c>
      <c r="I162" s="7">
        <v>0</v>
      </c>
      <c r="K162" s="7">
        <v>0</v>
      </c>
      <c r="M162" s="7">
        <v>0</v>
      </c>
      <c r="O162" s="7">
        <v>0</v>
      </c>
      <c r="Q162" s="7">
        <v>0</v>
      </c>
      <c r="S162" t="s">
        <v>39</v>
      </c>
      <c r="Y162" s="7">
        <v>480041.76453333336</v>
      </c>
      <c r="AA162" s="7">
        <v>525090.61166666681</v>
      </c>
      <c r="AC162" s="7">
        <v>587810.39373400004</v>
      </c>
      <c r="AE162" s="7">
        <v>639616.37161988684</v>
      </c>
      <c r="AG162" s="7">
        <v>691282.84141725895</v>
      </c>
    </row>
    <row r="163" spans="2:33">
      <c r="B163" s="6"/>
      <c r="S163" t="s">
        <v>44</v>
      </c>
      <c r="Y163" s="7">
        <v>480041.76453333336</v>
      </c>
      <c r="AA163" s="7">
        <v>525090.61166666681</v>
      </c>
      <c r="AC163" s="7">
        <v>587810.39373400004</v>
      </c>
      <c r="AE163" s="7">
        <v>639616.37161988684</v>
      </c>
      <c r="AG163" s="7">
        <v>691282.84141725895</v>
      </c>
    </row>
    <row r="164" spans="2:33">
      <c r="B164" s="6" t="s">
        <v>162</v>
      </c>
      <c r="I164" s="7">
        <v>647032.03666666662</v>
      </c>
      <c r="K164" s="7">
        <v>748081.8901933335</v>
      </c>
      <c r="M164" s="7">
        <v>813175.25326366676</v>
      </c>
      <c r="O164" s="7">
        <v>898473.19863273681</v>
      </c>
      <c r="Q164" s="7">
        <v>990389.1006517458</v>
      </c>
      <c r="S164" t="s">
        <v>51</v>
      </c>
      <c r="Y164" s="94">
        <v>0.99116427185457512</v>
      </c>
      <c r="AA164" s="94">
        <v>1.0770289265692572</v>
      </c>
      <c r="AC164" s="94">
        <v>1.1003244209945744</v>
      </c>
      <c r="AE164" s="94">
        <v>1.1426154629678578</v>
      </c>
      <c r="AG164" s="94">
        <v>1.1837478266697841</v>
      </c>
    </row>
    <row r="166" spans="2:33" ht="6.75" customHeight="1">
      <c r="B166" s="32"/>
      <c r="C166" s="32"/>
      <c r="D166" s="32"/>
      <c r="E166" s="32"/>
      <c r="F166" s="32"/>
      <c r="G166" s="32"/>
      <c r="H166" s="32"/>
      <c r="I166" s="25"/>
      <c r="J166" s="32"/>
      <c r="K166" s="25"/>
      <c r="L166" s="32"/>
      <c r="M166" s="25"/>
      <c r="N166" s="32"/>
      <c r="O166" s="25"/>
      <c r="P166" s="32"/>
      <c r="Q166" s="25"/>
      <c r="S166" s="32"/>
      <c r="T166" s="32"/>
      <c r="U166" s="32"/>
      <c r="V166" s="32"/>
      <c r="W166" s="32"/>
      <c r="X166" s="32"/>
      <c r="Y166" s="25"/>
      <c r="Z166" s="32"/>
      <c r="AA166" s="25"/>
      <c r="AB166" s="32"/>
      <c r="AC166" s="25"/>
      <c r="AD166" s="32"/>
      <c r="AE166" s="25"/>
      <c r="AF166" s="32"/>
      <c r="AG166" s="25"/>
    </row>
    <row r="169" spans="2:33" ht="26">
      <c r="B169" s="5" t="s">
        <v>198</v>
      </c>
      <c r="S169" s="5">
        <v>0</v>
      </c>
    </row>
    <row r="171" spans="2:33" ht="26">
      <c r="B171" s="5" t="s">
        <v>179</v>
      </c>
      <c r="O171" s="7" t="s">
        <v>284</v>
      </c>
      <c r="Q171" s="7" t="s">
        <v>287</v>
      </c>
      <c r="S171" s="5" t="s">
        <v>200</v>
      </c>
      <c r="AE171" s="7" t="s">
        <v>284</v>
      </c>
      <c r="AG171" s="7" t="s">
        <v>287</v>
      </c>
    </row>
    <row r="172" spans="2:33" ht="6.75" customHeight="1">
      <c r="B172" s="43"/>
      <c r="C172" s="32"/>
      <c r="D172" s="32"/>
      <c r="E172" s="32"/>
      <c r="F172" s="32"/>
      <c r="G172" s="32"/>
      <c r="H172" s="32"/>
      <c r="I172" s="25"/>
      <c r="J172" s="32"/>
      <c r="K172" s="25"/>
      <c r="L172" s="32"/>
      <c r="M172" s="25"/>
      <c r="N172" s="32"/>
      <c r="O172" s="25"/>
      <c r="P172" s="32"/>
      <c r="Q172" s="25"/>
      <c r="S172" s="43"/>
      <c r="T172" s="32"/>
      <c r="U172" s="32"/>
      <c r="V172" s="32"/>
      <c r="W172" s="32"/>
      <c r="X172" s="32"/>
      <c r="Y172" s="25"/>
      <c r="Z172" s="32"/>
      <c r="AA172" s="25"/>
      <c r="AB172" s="32"/>
      <c r="AC172" s="25"/>
      <c r="AD172" s="32"/>
      <c r="AE172" s="25"/>
      <c r="AF172" s="32"/>
      <c r="AG172" s="25"/>
    </row>
    <row r="173" spans="2:33" ht="17.25" customHeight="1">
      <c r="B173" s="5"/>
      <c r="S173" s="5"/>
    </row>
    <row r="174" spans="2:33" ht="15" thickBot="1">
      <c r="I174" s="33"/>
      <c r="J174" s="34"/>
      <c r="K174" s="33"/>
      <c r="L174" s="34"/>
      <c r="M174" s="35" t="s">
        <v>58</v>
      </c>
      <c r="N174" s="34"/>
      <c r="O174" s="33"/>
      <c r="P174" s="34"/>
      <c r="Q174" s="33"/>
      <c r="Y174" s="33"/>
      <c r="Z174" s="34"/>
      <c r="AA174" s="33"/>
      <c r="AB174" s="34"/>
      <c r="AC174" s="35" t="s">
        <v>59</v>
      </c>
      <c r="AD174" s="34"/>
      <c r="AE174" s="33"/>
      <c r="AF174" s="34"/>
      <c r="AG174" s="33"/>
    </row>
    <row r="175" spans="2:33">
      <c r="B175" s="6" t="s">
        <v>180</v>
      </c>
      <c r="I175" s="8">
        <v>2019</v>
      </c>
      <c r="J175" s="8"/>
      <c r="K175" s="8">
        <v>2020</v>
      </c>
      <c r="L175" s="8"/>
      <c r="M175" s="8">
        <v>2021</v>
      </c>
      <c r="N175" s="8"/>
      <c r="O175" s="8">
        <v>2022</v>
      </c>
      <c r="P175" s="8"/>
      <c r="Q175" s="8">
        <v>2023</v>
      </c>
      <c r="S175" s="6" t="s">
        <v>201</v>
      </c>
      <c r="Y175" s="10">
        <v>43465</v>
      </c>
      <c r="Z175" s="8"/>
      <c r="AA175" s="10">
        <v>43830</v>
      </c>
      <c r="AB175" s="8"/>
      <c r="AC175" s="10">
        <v>44196</v>
      </c>
      <c r="AD175" s="8"/>
      <c r="AE175" s="10">
        <v>44561</v>
      </c>
      <c r="AF175" s="8"/>
      <c r="AG175" s="10">
        <v>44926</v>
      </c>
    </row>
    <row r="177" spans="2:33">
      <c r="C177" t="s">
        <v>86</v>
      </c>
      <c r="I177" s="7">
        <v>652800</v>
      </c>
      <c r="K177" s="7">
        <v>694579.20000000007</v>
      </c>
      <c r="M177" s="7">
        <v>739032.26880000008</v>
      </c>
      <c r="O177" s="7">
        <v>786330.33400320017</v>
      </c>
      <c r="Q177" s="7">
        <v>836655.47537940508</v>
      </c>
      <c r="T177" t="s">
        <v>281</v>
      </c>
      <c r="Y177" s="7">
        <v>1656362.794</v>
      </c>
      <c r="AA177" s="7">
        <v>2345401.4074333338</v>
      </c>
      <c r="AC177" s="7">
        <v>3132086.0321056671</v>
      </c>
      <c r="AE177" s="7">
        <v>4012066.4665308376</v>
      </c>
      <c r="AG177" s="7">
        <v>4988725.1249746382</v>
      </c>
    </row>
    <row r="178" spans="2:33">
      <c r="C178" t="s">
        <v>181</v>
      </c>
      <c r="I178" s="7">
        <v>0</v>
      </c>
      <c r="K178" s="7">
        <v>0</v>
      </c>
      <c r="M178" s="7">
        <v>0</v>
      </c>
      <c r="O178" s="7">
        <v>0</v>
      </c>
      <c r="Q178" s="7">
        <v>0</v>
      </c>
      <c r="T178" t="s">
        <v>165</v>
      </c>
      <c r="Y178" s="7">
        <v>0</v>
      </c>
      <c r="AA178" s="7">
        <v>0</v>
      </c>
      <c r="AC178" s="7">
        <v>0</v>
      </c>
      <c r="AE178" s="7">
        <v>0</v>
      </c>
      <c r="AG178" s="7">
        <v>0</v>
      </c>
    </row>
    <row r="179" spans="2:33">
      <c r="C179" t="s">
        <v>110</v>
      </c>
      <c r="I179" s="7">
        <v>0</v>
      </c>
      <c r="K179" s="7">
        <v>0</v>
      </c>
      <c r="M179" s="7">
        <v>0</v>
      </c>
      <c r="O179" s="7">
        <v>0</v>
      </c>
      <c r="Q179" s="7">
        <v>0</v>
      </c>
      <c r="T179" t="s">
        <v>202</v>
      </c>
      <c r="Y179" s="7">
        <v>1725710</v>
      </c>
      <c r="AA179" s="7">
        <v>1725710</v>
      </c>
      <c r="AC179" s="7">
        <v>1725710</v>
      </c>
      <c r="AE179" s="7">
        <v>1725710</v>
      </c>
      <c r="AG179" s="7">
        <v>1725710</v>
      </c>
    </row>
    <row r="180" spans="2:33" ht="15" thickBot="1">
      <c r="C180" t="s">
        <v>125</v>
      </c>
      <c r="I180" s="54">
        <v>0</v>
      </c>
      <c r="K180" s="54">
        <v>0</v>
      </c>
      <c r="M180" s="54">
        <v>0</v>
      </c>
      <c r="O180" s="54">
        <v>0</v>
      </c>
      <c r="Q180" s="54">
        <v>0</v>
      </c>
      <c r="T180" t="s">
        <v>203</v>
      </c>
      <c r="Y180" s="54">
        <v>5000</v>
      </c>
      <c r="AA180" s="54">
        <v>5000</v>
      </c>
      <c r="AC180" s="54">
        <v>5000</v>
      </c>
      <c r="AE180" s="54">
        <v>5000</v>
      </c>
      <c r="AG180" s="54">
        <v>5000</v>
      </c>
    </row>
    <row r="181" spans="2:33" ht="15" thickTop="1"/>
    <row r="182" spans="2:33">
      <c r="C182" t="s">
        <v>182</v>
      </c>
      <c r="I182" s="7">
        <v>652800</v>
      </c>
      <c r="K182" s="7">
        <v>694579.20000000007</v>
      </c>
      <c r="M182" s="7">
        <v>739032.26880000008</v>
      </c>
      <c r="O182" s="7">
        <v>786330.33400320017</v>
      </c>
      <c r="Q182" s="7">
        <v>836655.47537940508</v>
      </c>
      <c r="T182" t="s">
        <v>166</v>
      </c>
      <c r="Y182" s="7">
        <v>3387072.7939999998</v>
      </c>
      <c r="AA182" s="7">
        <v>4076111.4074333338</v>
      </c>
      <c r="AC182" s="7">
        <v>4862796.0321056675</v>
      </c>
      <c r="AE182" s="7">
        <v>5742776.4665308371</v>
      </c>
      <c r="AG182" s="7">
        <v>6719435.1249746382</v>
      </c>
    </row>
    <row r="184" spans="2:33">
      <c r="B184" s="6" t="s">
        <v>183</v>
      </c>
      <c r="S184" s="6" t="s">
        <v>204</v>
      </c>
    </row>
    <row r="186" spans="2:33">
      <c r="C186" t="s">
        <v>184</v>
      </c>
      <c r="I186" s="7">
        <v>100602.416</v>
      </c>
      <c r="K186" s="7">
        <v>103912.98406666667</v>
      </c>
      <c r="M186" s="7">
        <v>83200.035033333334</v>
      </c>
      <c r="O186" s="7">
        <v>74505.426333333337</v>
      </c>
      <c r="Q186" s="7">
        <v>70059.337166666679</v>
      </c>
      <c r="T186" t="s">
        <v>205</v>
      </c>
      <c r="Y186" s="7">
        <v>213780.13399999999</v>
      </c>
      <c r="AA186" s="7">
        <v>179159.40326666663</v>
      </c>
      <c r="AC186" s="7">
        <v>152292.70156666666</v>
      </c>
      <c r="AE186" s="7">
        <v>134120.60856666666</v>
      </c>
      <c r="AG186" s="7">
        <v>120394.60473333333</v>
      </c>
    </row>
    <row r="187" spans="2:33" ht="15" thickBot="1">
      <c r="C187" t="s">
        <v>185</v>
      </c>
      <c r="I187" s="54">
        <v>-36052.866000000009</v>
      </c>
      <c r="K187" s="54">
        <v>-34620.730733333359</v>
      </c>
      <c r="M187" s="54">
        <v>-26866.701699999976</v>
      </c>
      <c r="O187" s="54">
        <v>-18172.092999999993</v>
      </c>
      <c r="Q187" s="54">
        <v>-13726.003833333336</v>
      </c>
      <c r="T187" t="s">
        <v>206</v>
      </c>
      <c r="Y187" s="54">
        <v>420078</v>
      </c>
      <c r="AA187" s="54">
        <v>420078</v>
      </c>
      <c r="AC187" s="54">
        <v>420078</v>
      </c>
      <c r="AE187" s="54">
        <v>420078</v>
      </c>
      <c r="AG187" s="54">
        <v>420078</v>
      </c>
    </row>
    <row r="188" spans="2:33" ht="15" thickTop="1"/>
    <row r="189" spans="2:33">
      <c r="C189" t="s">
        <v>186</v>
      </c>
      <c r="I189" s="7">
        <v>64549.549999999988</v>
      </c>
      <c r="K189" s="7">
        <v>69292.253333333312</v>
      </c>
      <c r="M189" s="7">
        <v>56333.333333333358</v>
      </c>
      <c r="O189" s="7">
        <v>56333.333333333343</v>
      </c>
      <c r="Q189" s="7">
        <v>56333.333333333343</v>
      </c>
      <c r="T189" t="s">
        <v>167</v>
      </c>
      <c r="Y189" s="7">
        <v>633858.13399999996</v>
      </c>
      <c r="AA189" s="7">
        <v>599237.40326666669</v>
      </c>
      <c r="AC189" s="7">
        <v>572370.7015666666</v>
      </c>
      <c r="AE189" s="7">
        <v>554198.60856666672</v>
      </c>
      <c r="AG189" s="7">
        <v>540472.60473333334</v>
      </c>
    </row>
    <row r="191" spans="2:33">
      <c r="C191" t="s">
        <v>164</v>
      </c>
      <c r="I191" s="7">
        <v>588250.44999999995</v>
      </c>
      <c r="K191" s="7">
        <v>625286.94666666677</v>
      </c>
      <c r="M191" s="7">
        <v>682698.93546666671</v>
      </c>
      <c r="O191" s="7">
        <v>729997.0006698668</v>
      </c>
      <c r="Q191" s="7">
        <v>780322.14204607171</v>
      </c>
      <c r="S191" s="6" t="s">
        <v>169</v>
      </c>
      <c r="Y191" s="7">
        <v>2753214.6599999997</v>
      </c>
      <c r="AA191" s="7">
        <v>3476874.0041666673</v>
      </c>
      <c r="AC191" s="7">
        <v>4290425.3305390012</v>
      </c>
      <c r="AE191" s="7">
        <v>5188577.8579641702</v>
      </c>
      <c r="AG191" s="7">
        <v>6178962.5202413052</v>
      </c>
    </row>
    <row r="192" spans="2:33">
      <c r="S192" s="6"/>
    </row>
    <row r="193" spans="2:33" ht="6.75" customHeight="1">
      <c r="S193" s="32"/>
      <c r="T193" s="32"/>
      <c r="U193" s="32"/>
      <c r="V193" s="32"/>
      <c r="W193" s="32"/>
      <c r="X193" s="32"/>
      <c r="Y193" s="25"/>
      <c r="Z193" s="32"/>
      <c r="AA193" s="25"/>
      <c r="AB193" s="32"/>
      <c r="AC193" s="25"/>
      <c r="AD193" s="32"/>
      <c r="AE193" s="25"/>
      <c r="AF193" s="32"/>
      <c r="AG193" s="25"/>
    </row>
    <row r="194" spans="2:33" ht="26">
      <c r="C194" t="s">
        <v>163</v>
      </c>
      <c r="S194" s="23" t="s">
        <v>53</v>
      </c>
      <c r="X194" s="5"/>
      <c r="Y194"/>
      <c r="AA194"/>
      <c r="AC194"/>
      <c r="AE194" t="s">
        <v>284</v>
      </c>
      <c r="AG194" t="s">
        <v>287</v>
      </c>
    </row>
    <row r="195" spans="2:33" ht="15.75" customHeight="1">
      <c r="D195" t="s">
        <v>187</v>
      </c>
      <c r="I195" s="7">
        <v>63816.740000000005</v>
      </c>
      <c r="K195" s="7">
        <v>65731.242200000008</v>
      </c>
      <c r="M195" s="7">
        <v>67703.179466000016</v>
      </c>
      <c r="O195" s="7">
        <v>69734.274849980022</v>
      </c>
      <c r="Q195" s="7">
        <v>71826.303095479423</v>
      </c>
      <c r="S195" s="5"/>
    </row>
    <row r="196" spans="2:33" ht="15" thickBot="1">
      <c r="D196" t="s">
        <v>188</v>
      </c>
      <c r="I196" s="7">
        <v>0</v>
      </c>
      <c r="K196" s="7">
        <v>0</v>
      </c>
      <c r="M196" s="7">
        <v>0</v>
      </c>
      <c r="O196" s="7">
        <v>0</v>
      </c>
      <c r="Q196" s="7">
        <v>0</v>
      </c>
      <c r="Y196" s="33"/>
      <c r="Z196" s="34"/>
      <c r="AA196" s="33"/>
      <c r="AB196" s="34"/>
      <c r="AC196" s="35" t="s">
        <v>59</v>
      </c>
      <c r="AD196" s="34"/>
      <c r="AE196" s="33"/>
      <c r="AF196" s="34"/>
      <c r="AG196" s="33"/>
    </row>
    <row r="197" spans="2:33">
      <c r="D197" t="s">
        <v>189</v>
      </c>
      <c r="I197" s="7">
        <v>0</v>
      </c>
      <c r="K197" s="7">
        <v>0</v>
      </c>
      <c r="M197" s="7">
        <v>0</v>
      </c>
      <c r="O197" s="7">
        <v>0</v>
      </c>
      <c r="Q197" s="7">
        <v>0</v>
      </c>
      <c r="S197" s="22" t="s">
        <v>74</v>
      </c>
      <c r="Y197" s="10">
        <v>43465</v>
      </c>
      <c r="Z197" s="8"/>
      <c r="AA197" s="10">
        <v>43830</v>
      </c>
      <c r="AB197" s="8"/>
      <c r="AC197" s="10">
        <v>44196</v>
      </c>
      <c r="AD197" s="8"/>
      <c r="AE197" s="10">
        <v>44561</v>
      </c>
      <c r="AF197" s="8"/>
      <c r="AG197" s="10">
        <v>44926</v>
      </c>
    </row>
    <row r="198" spans="2:33">
      <c r="D198" t="s">
        <v>190</v>
      </c>
      <c r="I198" s="7">
        <v>0</v>
      </c>
      <c r="K198" s="7">
        <v>0</v>
      </c>
      <c r="M198" s="7">
        <v>0</v>
      </c>
      <c r="O198" s="7">
        <v>0</v>
      </c>
      <c r="Q198" s="7">
        <v>0</v>
      </c>
      <c r="Y198"/>
      <c r="AA198"/>
      <c r="AC198"/>
      <c r="AE198"/>
      <c r="AG198"/>
    </row>
    <row r="199" spans="2:33">
      <c r="D199" t="s">
        <v>111</v>
      </c>
      <c r="I199" s="7">
        <v>5000</v>
      </c>
      <c r="K199" s="7">
        <v>5000</v>
      </c>
      <c r="M199" s="7">
        <v>5000</v>
      </c>
      <c r="O199" s="7">
        <v>5000</v>
      </c>
      <c r="Q199" s="7">
        <v>5000</v>
      </c>
      <c r="S199" t="s">
        <v>115</v>
      </c>
      <c r="Y199" s="94">
        <v>0.23710465060504948</v>
      </c>
      <c r="AA199" s="94">
        <v>0.19977117352185325</v>
      </c>
      <c r="AC199" s="94">
        <v>0.17225151630995902</v>
      </c>
      <c r="AE199" s="94">
        <v>0.15155026204265742</v>
      </c>
      <c r="AG199" s="94">
        <v>0.13540387607768359</v>
      </c>
    </row>
    <row r="200" spans="2:33" ht="15" thickBot="1">
      <c r="D200" t="s">
        <v>191</v>
      </c>
      <c r="I200" s="54">
        <v>0</v>
      </c>
      <c r="K200" s="54">
        <v>0</v>
      </c>
      <c r="M200" s="54">
        <v>0</v>
      </c>
      <c r="O200" s="54">
        <v>0</v>
      </c>
      <c r="Q200" s="54">
        <v>0</v>
      </c>
      <c r="S200" t="s">
        <v>116</v>
      </c>
      <c r="Y200" s="94">
        <v>0.23710465060504948</v>
      </c>
      <c r="AA200" s="94">
        <v>0.19977117352185325</v>
      </c>
      <c r="AC200" s="94">
        <v>0.17225151630995902</v>
      </c>
      <c r="AE200" s="94">
        <v>0.15155026204265742</v>
      </c>
      <c r="AG200" s="94">
        <v>0.13540387607768359</v>
      </c>
    </row>
    <row r="201" spans="2:33" ht="15" thickTop="1">
      <c r="S201" t="s">
        <v>242</v>
      </c>
      <c r="Y201" s="94">
        <v>9.0802945237840639E-3</v>
      </c>
      <c r="AA201" s="94">
        <v>7.1903669704568339E-3</v>
      </c>
      <c r="AC201" s="94">
        <v>5.8269281187698189E-3</v>
      </c>
      <c r="AE201" s="94">
        <v>4.8182759677830467E-3</v>
      </c>
      <c r="AG201" s="94">
        <v>4.0459866714038072E-3</v>
      </c>
    </row>
    <row r="202" spans="2:33">
      <c r="D202" t="s">
        <v>192</v>
      </c>
      <c r="I202" s="7">
        <v>68816.740000000005</v>
      </c>
      <c r="K202" s="7">
        <v>70731.242200000008</v>
      </c>
      <c r="M202" s="7">
        <v>72703.179466000016</v>
      </c>
      <c r="O202" s="7">
        <v>74734.274849980022</v>
      </c>
      <c r="Q202" s="7">
        <v>76826.303095479423</v>
      </c>
      <c r="S202" t="s">
        <v>48</v>
      </c>
      <c r="Y202" s="94">
        <v>6.0736945048766894E-2</v>
      </c>
      <c r="AA202" s="94">
        <v>4.4304989217339469E-2</v>
      </c>
      <c r="AC202" s="94">
        <v>2.6563777042037016E-2</v>
      </c>
      <c r="AE202" s="94">
        <v>1.8570336995876555E-2</v>
      </c>
      <c r="AG202" s="94">
        <v>1.4043535254314668E-2</v>
      </c>
    </row>
    <row r="203" spans="2:33">
      <c r="S203" t="s">
        <v>207</v>
      </c>
      <c r="Y203" s="97">
        <v>7465</v>
      </c>
      <c r="AA203" s="7">
        <v>41779.20000000007</v>
      </c>
      <c r="AC203" s="7">
        <v>44453.068800000008</v>
      </c>
      <c r="AE203" s="7">
        <v>47298.065203200094</v>
      </c>
      <c r="AG203" s="7">
        <v>50325.141376204905</v>
      </c>
    </row>
    <row r="204" spans="2:33">
      <c r="C204" t="s">
        <v>193</v>
      </c>
      <c r="I204" s="7">
        <v>519433.70999999996</v>
      </c>
      <c r="K204" s="7">
        <v>554555.70446666679</v>
      </c>
      <c r="M204" s="7">
        <v>609995.75600066665</v>
      </c>
      <c r="O204" s="7">
        <v>655262.72581988678</v>
      </c>
      <c r="Q204" s="7">
        <v>703495.83895059233</v>
      </c>
      <c r="S204" t="s">
        <v>118</v>
      </c>
      <c r="Y204" s="97">
        <v>657466.65999999968</v>
      </c>
      <c r="AA204" s="7">
        <v>723659.34416666767</v>
      </c>
      <c r="AC204" s="7">
        <v>813551.3263723338</v>
      </c>
      <c r="AE204" s="7">
        <v>898152.52742516901</v>
      </c>
      <c r="AG204" s="7">
        <v>990384.66227713507</v>
      </c>
    </row>
    <row r="205" spans="2:33">
      <c r="S205" t="s">
        <v>119</v>
      </c>
      <c r="Y205" s="94">
        <v>-1.309482566826083E-2</v>
      </c>
      <c r="AA205" s="94">
        <v>-1.2574657267491582E-2</v>
      </c>
      <c r="AC205" s="94">
        <v>-7.7272577803518512E-3</v>
      </c>
      <c r="AE205" s="94">
        <v>-4.2354991871440062E-3</v>
      </c>
      <c r="AG205" s="94">
        <v>-2.6454269761539196E-3</v>
      </c>
    </row>
    <row r="206" spans="2:33">
      <c r="B206" s="6" t="s">
        <v>168</v>
      </c>
      <c r="S206" t="s">
        <v>280</v>
      </c>
      <c r="Y206" s="94">
        <v>5.0135193599470385E-2</v>
      </c>
      <c r="AA206" s="94">
        <v>4.8636689019316517E-2</v>
      </c>
      <c r="AC206" s="94">
        <v>4.7444147069235727E-2</v>
      </c>
      <c r="AE206" s="94">
        <v>4.6812403755773162E-2</v>
      </c>
      <c r="AG206" s="94">
        <v>4.6429934214156407E-2</v>
      </c>
    </row>
    <row r="207" spans="2:33">
      <c r="S207" t="s">
        <v>124</v>
      </c>
      <c r="Y207" s="94">
        <v>0</v>
      </c>
      <c r="AA207" s="94">
        <v>0</v>
      </c>
      <c r="AC207" s="94">
        <v>0</v>
      </c>
      <c r="AE207" s="94">
        <v>0</v>
      </c>
      <c r="AG207" s="94">
        <v>0</v>
      </c>
    </row>
    <row r="208" spans="2:33">
      <c r="C208" t="s">
        <v>279</v>
      </c>
      <c r="I208" s="7">
        <v>138032.95000000001</v>
      </c>
      <c r="K208" s="7">
        <v>169103.6397</v>
      </c>
      <c r="M208" s="7">
        <v>203555.57037166669</v>
      </c>
      <c r="O208" s="7">
        <v>242889.8016052834</v>
      </c>
      <c r="Q208" s="7">
        <v>286888.82332654187</v>
      </c>
      <c r="S208" t="s">
        <v>127</v>
      </c>
      <c r="Y208" s="94">
        <v>-1.309482566826083E-2</v>
      </c>
      <c r="AA208" s="94">
        <v>-1.2574657267491582E-2</v>
      </c>
      <c r="AC208" s="94">
        <v>-7.7272577803518512E-3</v>
      </c>
      <c r="AE208" s="94">
        <v>-4.2354991871440062E-3</v>
      </c>
      <c r="AG208" s="94">
        <v>-2.6454269761539196E-3</v>
      </c>
    </row>
    <row r="209" spans="2:33" ht="15" thickBot="1">
      <c r="C209" t="s">
        <v>194</v>
      </c>
      <c r="I209" s="54">
        <v>0</v>
      </c>
      <c r="K209" s="54">
        <v>0</v>
      </c>
      <c r="M209" s="54">
        <v>0</v>
      </c>
      <c r="O209" s="54">
        <v>0</v>
      </c>
      <c r="Q209" s="54">
        <v>0</v>
      </c>
      <c r="S209" t="s">
        <v>128</v>
      </c>
      <c r="Y209" s="94">
        <v>0.38268073654883122</v>
      </c>
      <c r="AA209" s="94">
        <v>0.25549460376696714</v>
      </c>
      <c r="AC209" s="94">
        <v>0.18274424639027814</v>
      </c>
      <c r="AE209" s="94">
        <v>0.1381329579631497</v>
      </c>
      <c r="AG209" s="94">
        <v>0.1083388222829938</v>
      </c>
    </row>
    <row r="210" spans="2:33" ht="15" thickTop="1">
      <c r="S210" t="s">
        <v>73</v>
      </c>
      <c r="Y210" s="94">
        <v>9.8881050857843114E-2</v>
      </c>
      <c r="AA210" s="94">
        <v>9.9761486283109699E-2</v>
      </c>
      <c r="AC210" s="94">
        <v>7.622581003777322E-2</v>
      </c>
      <c r="AE210" s="94">
        <v>7.164079890768156E-2</v>
      </c>
      <c r="AG210" s="94">
        <v>6.7331577920753338E-2</v>
      </c>
    </row>
    <row r="211" spans="2:33">
      <c r="C211" t="s">
        <v>195</v>
      </c>
      <c r="I211" s="7">
        <v>138032.95000000001</v>
      </c>
      <c r="K211" s="7">
        <v>169103.6397</v>
      </c>
      <c r="M211" s="7">
        <v>203555.57037166669</v>
      </c>
      <c r="O211" s="7">
        <v>242889.8016052834</v>
      </c>
      <c r="Q211" s="7">
        <v>286888.82332654187</v>
      </c>
      <c r="S211" t="s">
        <v>132</v>
      </c>
      <c r="Y211" s="94">
        <v>0.10541780024509805</v>
      </c>
      <c r="AA211" s="94">
        <v>0.1018332282337277</v>
      </c>
      <c r="AC211" s="94">
        <v>9.8376190777232822E-2</v>
      </c>
      <c r="AE211" s="94">
        <v>9.5041831172286775E-2</v>
      </c>
      <c r="AG211" s="94">
        <v>9.1825494909526961E-2</v>
      </c>
    </row>
    <row r="212" spans="2:33">
      <c r="S212" t="s">
        <v>134</v>
      </c>
      <c r="Y212" s="94">
        <v>0</v>
      </c>
      <c r="AA212" s="94">
        <v>0</v>
      </c>
      <c r="AC212" s="94">
        <v>0</v>
      </c>
      <c r="AE212" s="94">
        <v>0</v>
      </c>
      <c r="AG212" s="94">
        <v>0</v>
      </c>
    </row>
    <row r="213" spans="2:33">
      <c r="B213" s="6" t="s">
        <v>112</v>
      </c>
      <c r="I213" s="7">
        <v>657466.65999999992</v>
      </c>
      <c r="K213" s="7">
        <v>723659.34416666673</v>
      </c>
      <c r="M213" s="7">
        <v>813551.32637233334</v>
      </c>
      <c r="O213" s="7">
        <v>898152.52742517018</v>
      </c>
      <c r="Q213" s="7">
        <v>990384.66227713414</v>
      </c>
      <c r="S213" t="s">
        <v>135</v>
      </c>
      <c r="Y213" s="94">
        <v>0.30971665134803922</v>
      </c>
      <c r="AA213" s="94">
        <v>0.30342794275056512</v>
      </c>
      <c r="AC213" s="94">
        <v>0.27297819159223885</v>
      </c>
      <c r="AE213" s="94">
        <v>0.26172446125225513</v>
      </c>
      <c r="AG213" s="94">
        <v>0.25098256773980726</v>
      </c>
    </row>
    <row r="214" spans="2:33">
      <c r="B214" s="6"/>
      <c r="S214" t="s">
        <v>47</v>
      </c>
      <c r="Y214" s="94">
        <v>0.21144753370098041</v>
      </c>
      <c r="AA214" s="94">
        <v>0.24346199785424036</v>
      </c>
      <c r="AC214" s="94">
        <v>0.27543529418842433</v>
      </c>
      <c r="AE214" s="94">
        <v>0.30889028580232147</v>
      </c>
      <c r="AG214" s="94">
        <v>0.34289959459889274</v>
      </c>
    </row>
    <row r="215" spans="2:33">
      <c r="B215" s="6" t="s">
        <v>196</v>
      </c>
      <c r="I215" s="7">
        <v>0</v>
      </c>
      <c r="K215" s="7">
        <v>0</v>
      </c>
      <c r="M215" s="7">
        <v>0</v>
      </c>
      <c r="O215" s="7">
        <v>0</v>
      </c>
      <c r="Q215" s="7">
        <v>0</v>
      </c>
      <c r="S215" t="s">
        <v>114</v>
      </c>
      <c r="Y215" s="94">
        <v>9.8269117647058812E-2</v>
      </c>
      <c r="AA215" s="94">
        <v>5.9965944896324758E-2</v>
      </c>
      <c r="AC215" s="94">
        <v>-2.4571025961854787E-3</v>
      </c>
      <c r="AE215" s="94">
        <v>-4.7165824550066349E-2</v>
      </c>
      <c r="AG215" s="94">
        <v>-9.1917026859085482E-2</v>
      </c>
    </row>
    <row r="216" spans="2:33">
      <c r="B216" s="6"/>
      <c r="S216" t="s">
        <v>38</v>
      </c>
      <c r="Y216" s="94">
        <v>5.3435818084808231</v>
      </c>
      <c r="AA216" s="94">
        <v>6.8021645264680233</v>
      </c>
      <c r="AC216" s="94">
        <v>8.4958856538174423</v>
      </c>
      <c r="AE216" s="94">
        <v>10.362307623585481</v>
      </c>
      <c r="AG216" s="94">
        <v>12.432517515462187</v>
      </c>
    </row>
    <row r="217" spans="2:33">
      <c r="B217" s="6" t="s">
        <v>113</v>
      </c>
      <c r="I217" s="7">
        <v>0</v>
      </c>
      <c r="K217" s="7">
        <v>0</v>
      </c>
      <c r="M217" s="7">
        <v>0</v>
      </c>
      <c r="O217" s="7">
        <v>0</v>
      </c>
      <c r="Q217" s="7">
        <v>0</v>
      </c>
      <c r="S217" t="s">
        <v>39</v>
      </c>
      <c r="Y217" s="7">
        <v>483380.84400000004</v>
      </c>
      <c r="AA217" s="7">
        <v>519934.97373333341</v>
      </c>
      <c r="AC217" s="7">
        <v>583129.05430066667</v>
      </c>
      <c r="AE217" s="7">
        <v>637090.63281988679</v>
      </c>
      <c r="AG217" s="7">
        <v>689769.83511725906</v>
      </c>
    </row>
    <row r="218" spans="2:33">
      <c r="B218" s="6"/>
      <c r="S218" t="s">
        <v>44</v>
      </c>
      <c r="Y218" s="7">
        <v>483380.84400000004</v>
      </c>
      <c r="AA218" s="7">
        <v>519934.97373333341</v>
      </c>
      <c r="AC218" s="7">
        <v>583129.05430066667</v>
      </c>
      <c r="AE218" s="7">
        <v>637090.63281988679</v>
      </c>
      <c r="AG218" s="7">
        <v>689769.83511725906</v>
      </c>
    </row>
    <row r="219" spans="2:33">
      <c r="B219" s="6" t="s">
        <v>162</v>
      </c>
      <c r="I219" s="7">
        <v>657466.65999999992</v>
      </c>
      <c r="K219" s="7">
        <v>723659.34416666673</v>
      </c>
      <c r="M219" s="7">
        <v>813551.32637233334</v>
      </c>
      <c r="O219" s="7">
        <v>898152.52742517018</v>
      </c>
      <c r="Q219" s="7">
        <v>990384.66227713414</v>
      </c>
      <c r="S219" t="s">
        <v>51</v>
      </c>
      <c r="Y219" s="94">
        <v>1.0071486825980391</v>
      </c>
      <c r="AA219" s="94">
        <v>1.041867283337403</v>
      </c>
      <c r="AC219" s="94">
        <v>1.1008332933734182</v>
      </c>
      <c r="AE219" s="94">
        <v>1.1422076557223531</v>
      </c>
      <c r="AG219" s="94">
        <v>1.1837425217686124</v>
      </c>
    </row>
    <row r="221" spans="2:33" ht="6.75" customHeight="1">
      <c r="B221" s="32"/>
      <c r="C221" s="32"/>
      <c r="D221" s="32"/>
      <c r="E221" s="32"/>
      <c r="F221" s="32"/>
      <c r="G221" s="32"/>
      <c r="H221" s="32"/>
      <c r="I221" s="25"/>
      <c r="J221" s="32"/>
      <c r="K221" s="25"/>
      <c r="L221" s="32"/>
      <c r="M221" s="25"/>
      <c r="N221" s="32"/>
      <c r="O221" s="25"/>
      <c r="P221" s="32"/>
      <c r="Q221" s="25"/>
      <c r="S221" s="32"/>
      <c r="T221" s="32"/>
      <c r="U221" s="32"/>
      <c r="V221" s="32"/>
      <c r="W221" s="32"/>
      <c r="X221" s="32"/>
      <c r="Y221" s="25"/>
      <c r="Z221" s="32"/>
      <c r="AA221" s="25"/>
      <c r="AB221" s="32"/>
      <c r="AC221" s="25"/>
      <c r="AD221" s="32"/>
      <c r="AE221" s="25"/>
      <c r="AF221" s="32"/>
      <c r="AG221" s="25"/>
    </row>
    <row r="224" spans="2:33" ht="26">
      <c r="B224" s="5" t="s">
        <v>198</v>
      </c>
      <c r="S224" s="5">
        <v>0</v>
      </c>
    </row>
    <row r="226" spans="2:33" ht="26">
      <c r="B226" s="5" t="s">
        <v>179</v>
      </c>
      <c r="O226" s="7" t="s">
        <v>284</v>
      </c>
      <c r="Q226" s="7" t="s">
        <v>293</v>
      </c>
      <c r="S226" s="5" t="s">
        <v>200</v>
      </c>
      <c r="AE226" s="7" t="s">
        <v>284</v>
      </c>
      <c r="AG226" s="7" t="s">
        <v>293</v>
      </c>
    </row>
    <row r="227" spans="2:33" ht="6.75" customHeight="1">
      <c r="B227" s="43"/>
      <c r="C227" s="32"/>
      <c r="D227" s="32"/>
      <c r="E227" s="32"/>
      <c r="F227" s="32"/>
      <c r="G227" s="32"/>
      <c r="H227" s="32"/>
      <c r="I227" s="25"/>
      <c r="J227" s="32"/>
      <c r="K227" s="25"/>
      <c r="L227" s="32"/>
      <c r="M227" s="25"/>
      <c r="N227" s="32"/>
      <c r="O227" s="25"/>
      <c r="P227" s="32"/>
      <c r="Q227" s="25"/>
      <c r="S227" s="43"/>
      <c r="T227" s="32"/>
      <c r="U227" s="32"/>
      <c r="V227" s="32"/>
      <c r="W227" s="32"/>
      <c r="X227" s="32"/>
      <c r="Y227" s="25"/>
      <c r="Z227" s="32"/>
      <c r="AA227" s="25"/>
      <c r="AB227" s="32"/>
      <c r="AC227" s="25"/>
      <c r="AD227" s="32"/>
      <c r="AE227" s="25"/>
      <c r="AF227" s="32"/>
      <c r="AG227" s="25"/>
    </row>
    <row r="228" spans="2:33" ht="17.25" customHeight="1">
      <c r="B228" s="5"/>
      <c r="S228" s="5"/>
    </row>
    <row r="229" spans="2:33" ht="15" thickBot="1">
      <c r="I229" s="33"/>
      <c r="J229" s="34"/>
      <c r="K229" s="33"/>
      <c r="L229" s="34"/>
      <c r="M229" s="35" t="s">
        <v>58</v>
      </c>
      <c r="N229" s="34"/>
      <c r="O229" s="33"/>
      <c r="P229" s="34"/>
      <c r="Q229" s="33"/>
      <c r="Y229" s="33"/>
      <c r="Z229" s="34"/>
      <c r="AA229" s="33"/>
      <c r="AB229" s="34"/>
      <c r="AC229" s="35" t="s">
        <v>59</v>
      </c>
      <c r="AD229" s="34"/>
      <c r="AE229" s="33"/>
      <c r="AF229" s="34"/>
      <c r="AG229" s="33"/>
    </row>
    <row r="230" spans="2:33">
      <c r="B230" s="6" t="s">
        <v>180</v>
      </c>
      <c r="I230" s="8">
        <v>2019</v>
      </c>
      <c r="J230" s="8"/>
      <c r="K230" s="8">
        <v>2020</v>
      </c>
      <c r="L230" s="8"/>
      <c r="M230" s="8">
        <v>2021</v>
      </c>
      <c r="N230" s="8"/>
      <c r="O230" s="8">
        <v>2022</v>
      </c>
      <c r="P230" s="8"/>
      <c r="Q230" s="8">
        <v>2023</v>
      </c>
      <c r="S230" s="6" t="s">
        <v>201</v>
      </c>
      <c r="Y230" s="10">
        <v>43465</v>
      </c>
      <c r="Z230" s="8"/>
      <c r="AA230" s="10">
        <v>43830</v>
      </c>
      <c r="AB230" s="8"/>
      <c r="AC230" s="10">
        <v>44196</v>
      </c>
      <c r="AD230" s="8"/>
      <c r="AE230" s="10">
        <v>44561</v>
      </c>
      <c r="AF230" s="8"/>
      <c r="AG230" s="10">
        <v>44926</v>
      </c>
    </row>
    <row r="232" spans="2:33">
      <c r="C232" t="s">
        <v>86</v>
      </c>
      <c r="I232" s="7">
        <v>652800</v>
      </c>
      <c r="K232" s="7">
        <v>694579.20000000007</v>
      </c>
      <c r="M232" s="7">
        <v>739032.26880000008</v>
      </c>
      <c r="O232" s="7">
        <v>786330.33400320017</v>
      </c>
      <c r="Q232" s="7">
        <v>836655.47537940508</v>
      </c>
      <c r="T232" t="s">
        <v>281</v>
      </c>
      <c r="Y232" s="7">
        <v>1641951.0148</v>
      </c>
      <c r="AA232" s="7">
        <v>2322706.3230733336</v>
      </c>
      <c r="AC232" s="7">
        <v>3104869.9912276668</v>
      </c>
      <c r="AE232" s="7">
        <v>3963888.8120756038</v>
      </c>
      <c r="AG232" s="7">
        <v>4922436.1161633097</v>
      </c>
    </row>
    <row r="233" spans="2:33">
      <c r="C233" t="s">
        <v>181</v>
      </c>
      <c r="I233" s="7">
        <v>0</v>
      </c>
      <c r="K233" s="7">
        <v>0</v>
      </c>
      <c r="M233" s="7">
        <v>0</v>
      </c>
      <c r="O233" s="7">
        <v>0</v>
      </c>
      <c r="Q233" s="7">
        <v>0</v>
      </c>
      <c r="T233" t="s">
        <v>165</v>
      </c>
      <c r="Y233" s="7">
        <v>0</v>
      </c>
      <c r="AA233" s="7">
        <v>0</v>
      </c>
      <c r="AC233" s="7">
        <v>0</v>
      </c>
      <c r="AE233" s="7">
        <v>0</v>
      </c>
      <c r="AG233" s="7">
        <v>0</v>
      </c>
    </row>
    <row r="234" spans="2:33">
      <c r="C234" t="s">
        <v>110</v>
      </c>
      <c r="I234" s="7">
        <v>0</v>
      </c>
      <c r="K234" s="7">
        <v>0</v>
      </c>
      <c r="M234" s="7">
        <v>0</v>
      </c>
      <c r="O234" s="7">
        <v>0</v>
      </c>
      <c r="Q234" s="7">
        <v>0</v>
      </c>
      <c r="T234" t="s">
        <v>202</v>
      </c>
      <c r="Y234" s="7">
        <v>1725710</v>
      </c>
      <c r="AA234" s="7">
        <v>1725710</v>
      </c>
      <c r="AC234" s="7">
        <v>1725710</v>
      </c>
      <c r="AE234" s="7">
        <v>1725710</v>
      </c>
      <c r="AG234" s="7">
        <v>1725710</v>
      </c>
    </row>
    <row r="235" spans="2:33" ht="15" thickBot="1">
      <c r="C235" t="s">
        <v>125</v>
      </c>
      <c r="I235" s="54">
        <v>0</v>
      </c>
      <c r="K235" s="54">
        <v>0</v>
      </c>
      <c r="M235" s="54">
        <v>0</v>
      </c>
      <c r="O235" s="54">
        <v>0</v>
      </c>
      <c r="Q235" s="54">
        <v>0</v>
      </c>
      <c r="T235" t="s">
        <v>203</v>
      </c>
      <c r="Y235" s="54">
        <v>5000</v>
      </c>
      <c r="AA235" s="54">
        <v>5000</v>
      </c>
      <c r="AC235" s="54">
        <v>5000</v>
      </c>
      <c r="AE235" s="54">
        <v>5000</v>
      </c>
      <c r="AG235" s="54">
        <v>5000</v>
      </c>
    </row>
    <row r="236" spans="2:33" ht="15" thickTop="1"/>
    <row r="237" spans="2:33">
      <c r="C237" t="s">
        <v>182</v>
      </c>
      <c r="I237" s="7">
        <v>652800</v>
      </c>
      <c r="K237" s="7">
        <v>694579.20000000007</v>
      </c>
      <c r="M237" s="7">
        <v>739032.26880000008</v>
      </c>
      <c r="O237" s="7">
        <v>786330.33400320017</v>
      </c>
      <c r="Q237" s="7">
        <v>836655.47537940508</v>
      </c>
      <c r="T237" t="s">
        <v>166</v>
      </c>
      <c r="Y237" s="7">
        <v>3372661.0148</v>
      </c>
      <c r="AA237" s="7">
        <v>4053416.3230733336</v>
      </c>
      <c r="AC237" s="7">
        <v>4835579.9912276668</v>
      </c>
      <c r="AE237" s="7">
        <v>5694598.8120756038</v>
      </c>
      <c r="AG237" s="7">
        <v>6653146.1161633097</v>
      </c>
    </row>
    <row r="239" spans="2:33">
      <c r="B239" s="6" t="s">
        <v>183</v>
      </c>
      <c r="S239" s="6" t="s">
        <v>204</v>
      </c>
    </row>
    <row r="241" spans="3:33">
      <c r="C241" t="s">
        <v>184</v>
      </c>
      <c r="I241" s="7">
        <v>115014.1952</v>
      </c>
      <c r="K241" s="7">
        <v>111475.70026666667</v>
      </c>
      <c r="M241" s="7">
        <v>86586.237333333338</v>
      </c>
      <c r="O241" s="7">
        <v>94106.237866666677</v>
      </c>
      <c r="Q241" s="7">
        <v>85761.808800000013</v>
      </c>
      <c r="T241" t="s">
        <v>205</v>
      </c>
      <c r="Y241" s="7">
        <v>244405.16479999997</v>
      </c>
      <c r="AA241" s="7">
        <v>189262.79786666663</v>
      </c>
      <c r="AC241" s="7">
        <v>159009.89386666665</v>
      </c>
      <c r="AE241" s="7">
        <v>174490.01599999995</v>
      </c>
      <c r="AG241" s="7">
        <v>145061.54053333326</v>
      </c>
    </row>
    <row r="242" spans="3:33" ht="15" thickBot="1">
      <c r="C242" t="s">
        <v>185</v>
      </c>
      <c r="I242" s="54">
        <v>-5427.8352000000305</v>
      </c>
      <c r="K242" s="54">
        <v>-55142.366933333338</v>
      </c>
      <c r="M242" s="54">
        <v>-30252.90399999998</v>
      </c>
      <c r="O242" s="54">
        <v>15480.122133333294</v>
      </c>
      <c r="Q242" s="54">
        <v>-29428.475466666685</v>
      </c>
      <c r="T242" t="s">
        <v>206</v>
      </c>
      <c r="Y242" s="54">
        <v>420078</v>
      </c>
      <c r="AA242" s="54">
        <v>420078</v>
      </c>
      <c r="AC242" s="54">
        <v>420078</v>
      </c>
      <c r="AE242" s="54">
        <v>420078</v>
      </c>
      <c r="AG242" s="54">
        <v>420078</v>
      </c>
    </row>
    <row r="243" spans="3:33" ht="15" thickTop="1"/>
    <row r="244" spans="3:33">
      <c r="C244" t="s">
        <v>186</v>
      </c>
      <c r="I244" s="7">
        <v>109586.35999999997</v>
      </c>
      <c r="K244" s="7">
        <v>56333.333333333328</v>
      </c>
      <c r="M244" s="7">
        <v>56333.333333333358</v>
      </c>
      <c r="O244" s="7">
        <v>109586.35999999997</v>
      </c>
      <c r="Q244" s="7">
        <v>56333.333333333328</v>
      </c>
      <c r="T244" t="s">
        <v>167</v>
      </c>
      <c r="Y244" s="7">
        <v>664483.16479999991</v>
      </c>
      <c r="AA244" s="7">
        <v>609340.79786666669</v>
      </c>
      <c r="AC244" s="7">
        <v>579087.89386666659</v>
      </c>
      <c r="AE244" s="7">
        <v>594568.01599999995</v>
      </c>
      <c r="AG244" s="7">
        <v>565139.54053333332</v>
      </c>
    </row>
    <row r="246" spans="3:33">
      <c r="C246" t="s">
        <v>164</v>
      </c>
      <c r="I246" s="7">
        <v>543213.64</v>
      </c>
      <c r="K246" s="7">
        <v>638245.8666666667</v>
      </c>
      <c r="M246" s="7">
        <v>682698.93546666671</v>
      </c>
      <c r="O246" s="7">
        <v>676743.97400320019</v>
      </c>
      <c r="Q246" s="7">
        <v>780322.14204607171</v>
      </c>
      <c r="S246" s="6" t="s">
        <v>169</v>
      </c>
      <c r="Y246" s="7">
        <v>2708177.85</v>
      </c>
      <c r="AA246" s="7">
        <v>3444075.5252066669</v>
      </c>
      <c r="AC246" s="7">
        <v>4256492.0973610003</v>
      </c>
      <c r="AE246" s="7">
        <v>5100030.7960756039</v>
      </c>
      <c r="AG246" s="7">
        <v>6088006.5756299766</v>
      </c>
    </row>
    <row r="247" spans="3:33">
      <c r="S247" s="6"/>
    </row>
    <row r="248" spans="3:33" ht="6.75" customHeight="1">
      <c r="S248" s="32"/>
      <c r="T248" s="32"/>
      <c r="U248" s="32"/>
      <c r="V248" s="32"/>
      <c r="W248" s="32"/>
      <c r="X248" s="32"/>
      <c r="Y248" s="25"/>
      <c r="Z248" s="32"/>
      <c r="AA248" s="25"/>
      <c r="AB248" s="32"/>
      <c r="AC248" s="25"/>
      <c r="AD248" s="32"/>
      <c r="AE248" s="25"/>
      <c r="AF248" s="32"/>
      <c r="AG248" s="25"/>
    </row>
    <row r="249" spans="3:33" ht="26">
      <c r="C249" t="s">
        <v>163</v>
      </c>
      <c r="S249" s="23" t="s">
        <v>53</v>
      </c>
      <c r="X249" s="5"/>
      <c r="Y249"/>
      <c r="AA249"/>
      <c r="AC249"/>
      <c r="AE249" t="s">
        <v>284</v>
      </c>
      <c r="AG249" t="s">
        <v>293</v>
      </c>
    </row>
    <row r="250" spans="3:33" ht="15.75" customHeight="1">
      <c r="D250" t="s">
        <v>187</v>
      </c>
      <c r="I250" s="7">
        <v>63816.740000000005</v>
      </c>
      <c r="K250" s="7">
        <v>65731.242200000008</v>
      </c>
      <c r="M250" s="7">
        <v>67703.179466000016</v>
      </c>
      <c r="O250" s="7">
        <v>69734.274849980022</v>
      </c>
      <c r="Q250" s="7">
        <v>71826.303095479423</v>
      </c>
      <c r="S250" s="5"/>
    </row>
    <row r="251" spans="3:33" ht="15" thickBot="1">
      <c r="D251" t="s">
        <v>188</v>
      </c>
      <c r="I251" s="7">
        <v>0</v>
      </c>
      <c r="K251" s="7">
        <v>0</v>
      </c>
      <c r="M251" s="7">
        <v>0</v>
      </c>
      <c r="O251" s="7">
        <v>0</v>
      </c>
      <c r="Q251" s="7">
        <v>0</v>
      </c>
      <c r="Y251" s="33"/>
      <c r="Z251" s="34"/>
      <c r="AA251" s="33"/>
      <c r="AB251" s="34"/>
      <c r="AC251" s="35" t="s">
        <v>59</v>
      </c>
      <c r="AD251" s="34"/>
      <c r="AE251" s="33"/>
      <c r="AF251" s="34"/>
      <c r="AG251" s="33"/>
    </row>
    <row r="252" spans="3:33">
      <c r="D252" t="s">
        <v>189</v>
      </c>
      <c r="I252" s="7">
        <v>0</v>
      </c>
      <c r="K252" s="7">
        <v>0</v>
      </c>
      <c r="M252" s="7">
        <v>0</v>
      </c>
      <c r="O252" s="7">
        <v>0</v>
      </c>
      <c r="Q252" s="7">
        <v>0</v>
      </c>
      <c r="S252" s="22" t="s">
        <v>74</v>
      </c>
      <c r="Y252" s="10">
        <v>43465</v>
      </c>
      <c r="Z252" s="8"/>
      <c r="AA252" s="10">
        <v>43830</v>
      </c>
      <c r="AB252" s="8"/>
      <c r="AC252" s="10">
        <v>44196</v>
      </c>
      <c r="AD252" s="8"/>
      <c r="AE252" s="10">
        <v>44561</v>
      </c>
      <c r="AF252" s="8"/>
      <c r="AG252" s="10">
        <v>44926</v>
      </c>
    </row>
    <row r="253" spans="3:33">
      <c r="D253" t="s">
        <v>190</v>
      </c>
      <c r="I253" s="7">
        <v>0</v>
      </c>
      <c r="K253" s="7">
        <v>0</v>
      </c>
      <c r="M253" s="7">
        <v>0</v>
      </c>
      <c r="O253" s="7">
        <v>0</v>
      </c>
      <c r="Q253" s="7">
        <v>0</v>
      </c>
      <c r="Y253"/>
      <c r="AA253"/>
      <c r="AC253"/>
      <c r="AE253"/>
      <c r="AG253"/>
    </row>
    <row r="254" spans="3:33">
      <c r="D254" t="s">
        <v>111</v>
      </c>
      <c r="I254" s="7">
        <v>5000</v>
      </c>
      <c r="K254" s="7">
        <v>5000</v>
      </c>
      <c r="M254" s="7">
        <v>5000</v>
      </c>
      <c r="O254" s="7">
        <v>5000</v>
      </c>
      <c r="Q254" s="7">
        <v>5000</v>
      </c>
      <c r="S254" t="s">
        <v>115</v>
      </c>
      <c r="Y254" s="94">
        <v>0.2410476845159929</v>
      </c>
      <c r="AA254" s="94">
        <v>0.20167362617819504</v>
      </c>
      <c r="AC254" s="94">
        <v>0.17362472474885968</v>
      </c>
      <c r="AE254" s="94">
        <v>0.15418148741538373</v>
      </c>
      <c r="AG254" s="94">
        <v>0.1374268350380074</v>
      </c>
    </row>
    <row r="255" spans="3:33" ht="15" thickBot="1">
      <c r="D255" t="s">
        <v>191</v>
      </c>
      <c r="I255" s="54">
        <v>0</v>
      </c>
      <c r="K255" s="54">
        <v>0</v>
      </c>
      <c r="M255" s="54">
        <v>0</v>
      </c>
      <c r="O255" s="54">
        <v>0</v>
      </c>
      <c r="Q255" s="54">
        <v>0</v>
      </c>
      <c r="S255" t="s">
        <v>116</v>
      </c>
      <c r="Y255" s="94">
        <v>0.2410476845159929</v>
      </c>
      <c r="AA255" s="94">
        <v>0.20167362617819504</v>
      </c>
      <c r="AC255" s="94">
        <v>0.17362472474885968</v>
      </c>
      <c r="AE255" s="94">
        <v>0.15418148741538373</v>
      </c>
      <c r="AG255" s="94">
        <v>0.1374268350380074</v>
      </c>
    </row>
    <row r="256" spans="3:33" ht="15" thickTop="1">
      <c r="S256" t="s">
        <v>242</v>
      </c>
      <c r="Y256" s="94">
        <v>9.2312991925548749E-3</v>
      </c>
      <c r="AA256" s="94">
        <v>7.2588419786467481E-3</v>
      </c>
      <c r="AC256" s="94">
        <v>5.8733810443345712E-3</v>
      </c>
      <c r="AE256" s="94">
        <v>4.9019311842660087E-3</v>
      </c>
      <c r="AG256" s="94">
        <v>4.1064344608420598E-3</v>
      </c>
    </row>
    <row r="257" spans="2:33">
      <c r="D257" t="s">
        <v>192</v>
      </c>
      <c r="I257" s="7">
        <v>68816.740000000005</v>
      </c>
      <c r="K257" s="7">
        <v>70731.242200000008</v>
      </c>
      <c r="M257" s="7">
        <v>72703.179466000016</v>
      </c>
      <c r="O257" s="7">
        <v>74734.274849980022</v>
      </c>
      <c r="Q257" s="7">
        <v>76826.303095479423</v>
      </c>
      <c r="S257" t="s">
        <v>48</v>
      </c>
      <c r="Y257" s="94">
        <v>7.0047275566262529E-2</v>
      </c>
      <c r="AA257" s="94">
        <v>4.7993885046631914E-2</v>
      </c>
      <c r="AC257" s="94">
        <v>2.7887234434282097E-2</v>
      </c>
      <c r="AE257" s="94">
        <v>2.3740887378066997E-2</v>
      </c>
      <c r="AG257" s="94">
        <v>1.7422635210722709E-2</v>
      </c>
    </row>
    <row r="258" spans="2:33">
      <c r="S258" t="s">
        <v>207</v>
      </c>
      <c r="Y258" s="97">
        <v>7465</v>
      </c>
      <c r="AA258" s="7">
        <v>41779.20000000007</v>
      </c>
      <c r="AC258" s="7">
        <v>44453.068800000008</v>
      </c>
      <c r="AE258" s="7">
        <v>47298.065203200094</v>
      </c>
      <c r="AG258" s="7">
        <v>50325.141376204905</v>
      </c>
    </row>
    <row r="259" spans="2:33">
      <c r="C259" t="s">
        <v>193</v>
      </c>
      <c r="I259" s="7">
        <v>474396.9</v>
      </c>
      <c r="K259" s="7">
        <v>567514.62446666672</v>
      </c>
      <c r="M259" s="7">
        <v>609995.75600066665</v>
      </c>
      <c r="O259" s="7">
        <v>602009.69915322016</v>
      </c>
      <c r="Q259" s="7">
        <v>703495.83895059233</v>
      </c>
      <c r="S259" t="s">
        <v>118</v>
      </c>
      <c r="Y259" s="97">
        <v>612429.85000000009</v>
      </c>
      <c r="AA259" s="7">
        <v>735897.67520666681</v>
      </c>
      <c r="AC259" s="7">
        <v>812416.57215433335</v>
      </c>
      <c r="AE259" s="7">
        <v>843538.69871460367</v>
      </c>
      <c r="AG259" s="7">
        <v>987975.77955437265</v>
      </c>
    </row>
    <row r="260" spans="2:33">
      <c r="S260" t="s">
        <v>119</v>
      </c>
      <c r="Y260" s="94">
        <v>-2.0042388279632485E-3</v>
      </c>
      <c r="AA260" s="94">
        <v>-2.0361427493889788E-2</v>
      </c>
      <c r="AC260" s="94">
        <v>-8.7840419812467985E-3</v>
      </c>
      <c r="AE260" s="94">
        <v>3.6368262360761522E-3</v>
      </c>
      <c r="AG260" s="94">
        <v>-5.7702544638184245E-3</v>
      </c>
    </row>
    <row r="261" spans="2:33">
      <c r="B261" s="6" t="s">
        <v>168</v>
      </c>
      <c r="S261" t="s">
        <v>280</v>
      </c>
      <c r="Y261" s="94">
        <v>5.0968938395238708E-2</v>
      </c>
      <c r="AA261" s="94">
        <v>4.8890638288164694E-2</v>
      </c>
      <c r="AC261" s="94">
        <v>4.7555783383027163E-2</v>
      </c>
      <c r="AE261" s="94">
        <v>4.7358341394180652E-2</v>
      </c>
      <c r="AG261" s="94">
        <v>4.672792926054662E-2</v>
      </c>
    </row>
    <row r="262" spans="2:33">
      <c r="S262" t="s">
        <v>124</v>
      </c>
      <c r="Y262" s="94">
        <v>0</v>
      </c>
      <c r="AA262" s="94">
        <v>0</v>
      </c>
      <c r="AC262" s="94">
        <v>0</v>
      </c>
      <c r="AE262" s="94">
        <v>0</v>
      </c>
      <c r="AG262" s="94">
        <v>0</v>
      </c>
    </row>
    <row r="263" spans="2:33">
      <c r="C263" t="s">
        <v>279</v>
      </c>
      <c r="I263" s="7">
        <v>138032.95000000001</v>
      </c>
      <c r="K263" s="7">
        <v>168383.05074000001</v>
      </c>
      <c r="M263" s="7">
        <v>202420.8161536667</v>
      </c>
      <c r="O263" s="7">
        <v>241528.99956138336</v>
      </c>
      <c r="Q263" s="7">
        <v>284479.94060378021</v>
      </c>
      <c r="S263" t="s">
        <v>127</v>
      </c>
      <c r="Y263" s="94">
        <v>-2.0042388279632485E-3</v>
      </c>
      <c r="AA263" s="94">
        <v>-2.0361427493889788E-2</v>
      </c>
      <c r="AC263" s="94">
        <v>-8.7840419812467985E-3</v>
      </c>
      <c r="AE263" s="94">
        <v>3.6368262360761522E-3</v>
      </c>
      <c r="AG263" s="94">
        <v>-5.7702544638184245E-3</v>
      </c>
    </row>
    <row r="264" spans="2:33" ht="15" thickBot="1">
      <c r="C264" t="s">
        <v>194</v>
      </c>
      <c r="I264" s="54">
        <v>0</v>
      </c>
      <c r="K264" s="54">
        <v>0</v>
      </c>
      <c r="M264" s="54">
        <v>0</v>
      </c>
      <c r="O264" s="54">
        <v>0</v>
      </c>
      <c r="Q264" s="54">
        <v>0</v>
      </c>
      <c r="S264" t="s">
        <v>128</v>
      </c>
      <c r="Y264" s="94">
        <v>0.40469122331334478</v>
      </c>
      <c r="AA264" s="94">
        <v>0.26234087013652491</v>
      </c>
      <c r="AC264" s="94">
        <v>0.18650954645533965</v>
      </c>
      <c r="AE264" s="94">
        <v>0.14999613868802425</v>
      </c>
      <c r="AG264" s="94">
        <v>0.11480891314722019</v>
      </c>
    </row>
    <row r="265" spans="2:33" ht="15" thickTop="1">
      <c r="S265" t="s">
        <v>73</v>
      </c>
      <c r="Y265" s="94">
        <v>0.16787126225490193</v>
      </c>
      <c r="AA265" s="94">
        <v>8.1104261880190653E-2</v>
      </c>
      <c r="AC265" s="94">
        <v>7.622581003777322E-2</v>
      </c>
      <c r="AE265" s="94">
        <v>0.13936427893109105</v>
      </c>
      <c r="AG265" s="94">
        <v>6.7331577920753324E-2</v>
      </c>
    </row>
    <row r="266" spans="2:33">
      <c r="C266" t="s">
        <v>195</v>
      </c>
      <c r="I266" s="7">
        <v>138032.95000000001</v>
      </c>
      <c r="K266" s="7">
        <v>168383.05074000001</v>
      </c>
      <c r="M266" s="7">
        <v>202420.8161536667</v>
      </c>
      <c r="O266" s="7">
        <v>241528.99956138336</v>
      </c>
      <c r="Q266" s="7">
        <v>284479.94060378021</v>
      </c>
      <c r="S266" t="s">
        <v>132</v>
      </c>
      <c r="Y266" s="94">
        <v>0.10541780024509805</v>
      </c>
      <c r="AA266" s="94">
        <v>0.1018332282337277</v>
      </c>
      <c r="AC266" s="94">
        <v>9.8376190777232822E-2</v>
      </c>
      <c r="AE266" s="94">
        <v>9.5041831172286775E-2</v>
      </c>
      <c r="AG266" s="94">
        <v>9.1825494909526961E-2</v>
      </c>
    </row>
    <row r="267" spans="2:33">
      <c r="S267" t="s">
        <v>134</v>
      </c>
      <c r="Y267" s="94">
        <v>0</v>
      </c>
      <c r="AA267" s="94">
        <v>0</v>
      </c>
      <c r="AC267" s="94">
        <v>0</v>
      </c>
      <c r="AE267" s="94">
        <v>0</v>
      </c>
      <c r="AG267" s="94">
        <v>0</v>
      </c>
    </row>
    <row r="268" spans="2:33">
      <c r="B268" s="6" t="s">
        <v>112</v>
      </c>
      <c r="I268" s="7">
        <v>612429.85000000009</v>
      </c>
      <c r="K268" s="7">
        <v>735897.6752066667</v>
      </c>
      <c r="M268" s="7">
        <v>812416.57215433335</v>
      </c>
      <c r="O268" s="7">
        <v>843538.69871460355</v>
      </c>
      <c r="Q268" s="7">
        <v>987975.77955437254</v>
      </c>
      <c r="S268" t="s">
        <v>135</v>
      </c>
      <c r="Y268" s="94">
        <v>0.37870686274509802</v>
      </c>
      <c r="AA268" s="94">
        <v>0.28477071834764606</v>
      </c>
      <c r="AC268" s="94">
        <v>0.27297819159223885</v>
      </c>
      <c r="AE268" s="94">
        <v>0.32944794127566457</v>
      </c>
      <c r="AG268" s="94">
        <v>0.25098256773980726</v>
      </c>
    </row>
    <row r="269" spans="2:33">
      <c r="B269" s="6"/>
      <c r="S269" t="s">
        <v>47</v>
      </c>
      <c r="Y269" s="94">
        <v>0.21144753370098041</v>
      </c>
      <c r="AA269" s="94">
        <v>0.24242455106631466</v>
      </c>
      <c r="AC269" s="94">
        <v>0.27389983455302497</v>
      </c>
      <c r="AE269" s="94">
        <v>0.30715971280385629</v>
      </c>
      <c r="AG269" s="94">
        <v>0.34002041339032024</v>
      </c>
    </row>
    <row r="270" spans="2:33">
      <c r="B270" s="6" t="s">
        <v>196</v>
      </c>
      <c r="I270" s="7">
        <v>0</v>
      </c>
      <c r="K270" s="7">
        <v>0</v>
      </c>
      <c r="M270" s="7">
        <v>0</v>
      </c>
      <c r="O270" s="7">
        <v>0</v>
      </c>
      <c r="Q270" s="7">
        <v>0</v>
      </c>
      <c r="S270" t="s">
        <v>114</v>
      </c>
      <c r="Y270" s="94">
        <v>0.16725932904411761</v>
      </c>
      <c r="AA270" s="94">
        <v>4.2346167281331393E-2</v>
      </c>
      <c r="AC270" s="94">
        <v>-9.2164296078611763E-4</v>
      </c>
      <c r="AE270" s="94">
        <v>2.228822847180828E-2</v>
      </c>
      <c r="AG270" s="94">
        <v>-8.9037845650512981E-2</v>
      </c>
    </row>
    <row r="271" spans="2:33">
      <c r="B271" s="6"/>
      <c r="S271" t="s">
        <v>38</v>
      </c>
      <c r="Y271" s="94">
        <v>5.0756154459009108</v>
      </c>
      <c r="AA271" s="94">
        <v>6.652133481402446</v>
      </c>
      <c r="AC271" s="94">
        <v>8.3503385970300492</v>
      </c>
      <c r="AE271" s="94">
        <v>9.5777079473370197</v>
      </c>
      <c r="AG271" s="94">
        <v>11.772572327684955</v>
      </c>
    </row>
    <row r="272" spans="2:33">
      <c r="B272" s="6" t="s">
        <v>113</v>
      </c>
      <c r="I272" s="7">
        <v>0</v>
      </c>
      <c r="K272" s="7">
        <v>0</v>
      </c>
      <c r="M272" s="7">
        <v>0</v>
      </c>
      <c r="O272" s="7">
        <v>0</v>
      </c>
      <c r="Q272" s="7">
        <v>0</v>
      </c>
      <c r="S272" t="s">
        <v>39</v>
      </c>
      <c r="Y272" s="7">
        <v>468969.06480000005</v>
      </c>
      <c r="AA272" s="7">
        <v>512372.25753333338</v>
      </c>
      <c r="AC272" s="7">
        <v>579742.85200066667</v>
      </c>
      <c r="AE272" s="7">
        <v>617489.82128655352</v>
      </c>
      <c r="AG272" s="7">
        <v>674067.3634839257</v>
      </c>
    </row>
    <row r="273" spans="2:33">
      <c r="B273" s="6"/>
      <c r="S273" t="s">
        <v>44</v>
      </c>
      <c r="Y273" s="7">
        <v>468969.06480000005</v>
      </c>
      <c r="AA273" s="7">
        <v>512372.25753333338</v>
      </c>
      <c r="AC273" s="7">
        <v>579742.85200066667</v>
      </c>
      <c r="AE273" s="7">
        <v>617489.82128655352</v>
      </c>
      <c r="AG273" s="7">
        <v>674067.3634839257</v>
      </c>
    </row>
    <row r="274" spans="2:33">
      <c r="B274" s="6" t="s">
        <v>162</v>
      </c>
      <c r="I274" s="7">
        <v>612429.85000000009</v>
      </c>
      <c r="K274" s="7">
        <v>735897.6752066667</v>
      </c>
      <c r="M274" s="7">
        <v>812416.57215433335</v>
      </c>
      <c r="O274" s="7">
        <v>843538.69871460355</v>
      </c>
      <c r="Q274" s="7">
        <v>987975.77955437254</v>
      </c>
      <c r="S274" t="s">
        <v>51</v>
      </c>
      <c r="Y274" s="94">
        <v>0.9381584712009805</v>
      </c>
      <c r="AA274" s="94">
        <v>1.0594870609523963</v>
      </c>
      <c r="AC274" s="94">
        <v>1.0992978337380188</v>
      </c>
      <c r="AE274" s="94">
        <v>1.0727536027004785</v>
      </c>
      <c r="AG274" s="94">
        <v>1.1808633405600399</v>
      </c>
    </row>
    <row r="276" spans="2:33" ht="6.75" customHeight="1">
      <c r="B276" s="32"/>
      <c r="C276" s="32"/>
      <c r="D276" s="32"/>
      <c r="E276" s="32"/>
      <c r="F276" s="32"/>
      <c r="G276" s="32"/>
      <c r="H276" s="32"/>
      <c r="I276" s="25"/>
      <c r="J276" s="32"/>
      <c r="K276" s="25"/>
      <c r="L276" s="32"/>
      <c r="M276" s="25"/>
      <c r="N276" s="32"/>
      <c r="O276" s="25"/>
      <c r="P276" s="32"/>
      <c r="Q276" s="25"/>
      <c r="S276" s="32"/>
      <c r="T276" s="32"/>
      <c r="U276" s="32"/>
      <c r="V276" s="32"/>
      <c r="W276" s="32"/>
      <c r="X276" s="32"/>
      <c r="Y276" s="25"/>
      <c r="Z276" s="32"/>
      <c r="AA276" s="25"/>
      <c r="AB276" s="32"/>
      <c r="AC276" s="25"/>
      <c r="AD276" s="32"/>
      <c r="AE276" s="25"/>
      <c r="AF276" s="32"/>
      <c r="AG276" s="25"/>
    </row>
    <row r="279" spans="2:33" ht="26">
      <c r="B279" s="5" t="s">
        <v>198</v>
      </c>
      <c r="S279" s="5">
        <v>0</v>
      </c>
    </row>
    <row r="281" spans="2:33" ht="26">
      <c r="B281" s="5" t="s">
        <v>179</v>
      </c>
      <c r="O281" s="7" t="s">
        <v>284</v>
      </c>
      <c r="Q281" s="7" t="s">
        <v>288</v>
      </c>
      <c r="S281" s="5" t="s">
        <v>200</v>
      </c>
      <c r="AE281" s="7" t="s">
        <v>284</v>
      </c>
      <c r="AG281" s="7" t="s">
        <v>288</v>
      </c>
    </row>
    <row r="282" spans="2:33" ht="6.75" customHeight="1">
      <c r="B282" s="43"/>
      <c r="C282" s="32"/>
      <c r="D282" s="32"/>
      <c r="E282" s="32"/>
      <c r="F282" s="32"/>
      <c r="G282" s="32"/>
      <c r="H282" s="32"/>
      <c r="I282" s="25"/>
      <c r="J282" s="32"/>
      <c r="K282" s="25"/>
      <c r="L282" s="32"/>
      <c r="M282" s="25"/>
      <c r="N282" s="32"/>
      <c r="O282" s="25"/>
      <c r="P282" s="32"/>
      <c r="Q282" s="25"/>
      <c r="S282" s="43"/>
      <c r="T282" s="32"/>
      <c r="U282" s="32"/>
      <c r="V282" s="32"/>
      <c r="W282" s="32"/>
      <c r="X282" s="32"/>
      <c r="Y282" s="25"/>
      <c r="Z282" s="32"/>
      <c r="AA282" s="25"/>
      <c r="AB282" s="32"/>
      <c r="AC282" s="25"/>
      <c r="AD282" s="32"/>
      <c r="AE282" s="25"/>
      <c r="AF282" s="32"/>
      <c r="AG282" s="25"/>
    </row>
    <row r="283" spans="2:33" ht="17.25" customHeight="1">
      <c r="B283" s="5"/>
      <c r="S283" s="5"/>
    </row>
    <row r="284" spans="2:33" ht="15" thickBot="1">
      <c r="I284" s="33"/>
      <c r="J284" s="34"/>
      <c r="K284" s="33"/>
      <c r="L284" s="34"/>
      <c r="M284" s="35" t="s">
        <v>58</v>
      </c>
      <c r="N284" s="34"/>
      <c r="O284" s="33"/>
      <c r="P284" s="34"/>
      <c r="Q284" s="33"/>
      <c r="Y284" s="33"/>
      <c r="Z284" s="34"/>
      <c r="AA284" s="33"/>
      <c r="AB284" s="34"/>
      <c r="AC284" s="35" t="s">
        <v>59</v>
      </c>
      <c r="AD284" s="34"/>
      <c r="AE284" s="33"/>
      <c r="AF284" s="34"/>
      <c r="AG284" s="33"/>
    </row>
    <row r="285" spans="2:33">
      <c r="B285" s="6" t="s">
        <v>180</v>
      </c>
      <c r="I285" s="8">
        <v>2019</v>
      </c>
      <c r="J285" s="8"/>
      <c r="K285" s="8">
        <v>2020</v>
      </c>
      <c r="L285" s="8"/>
      <c r="M285" s="8">
        <v>2021</v>
      </c>
      <c r="N285" s="8"/>
      <c r="O285" s="8">
        <v>2022</v>
      </c>
      <c r="P285" s="8"/>
      <c r="Q285" s="8">
        <v>2023</v>
      </c>
      <c r="S285" s="6" t="s">
        <v>201</v>
      </c>
      <c r="Y285" s="10">
        <v>43465</v>
      </c>
      <c r="Z285" s="8"/>
      <c r="AA285" s="10">
        <v>43830</v>
      </c>
      <c r="AB285" s="8"/>
      <c r="AC285" s="10">
        <v>44196</v>
      </c>
      <c r="AD285" s="8"/>
      <c r="AE285" s="10">
        <v>44561</v>
      </c>
      <c r="AF285" s="8"/>
      <c r="AG285" s="10">
        <v>44926</v>
      </c>
    </row>
    <row r="287" spans="2:33">
      <c r="C287" t="s">
        <v>86</v>
      </c>
      <c r="I287" s="7">
        <v>652800</v>
      </c>
      <c r="K287" s="7">
        <v>694579.20000000007</v>
      </c>
      <c r="M287" s="7">
        <v>739032.26880000008</v>
      </c>
      <c r="O287" s="7">
        <v>786330.33400320017</v>
      </c>
      <c r="Q287" s="7">
        <v>836655.47537940508</v>
      </c>
      <c r="T287" t="s">
        <v>281</v>
      </c>
      <c r="Y287" s="7">
        <v>1649285.3166666669</v>
      </c>
      <c r="AA287" s="7">
        <v>2326659.7936333334</v>
      </c>
      <c r="AC287" s="7">
        <v>3094865.7559823338</v>
      </c>
      <c r="AE287" s="7">
        <v>3950573.9696013373</v>
      </c>
      <c r="AG287" s="7">
        <v>4898729.0303653302</v>
      </c>
    </row>
    <row r="288" spans="2:33">
      <c r="C288" t="s">
        <v>181</v>
      </c>
      <c r="I288" s="7">
        <v>0</v>
      </c>
      <c r="K288" s="7">
        <v>0</v>
      </c>
      <c r="M288" s="7">
        <v>0</v>
      </c>
      <c r="O288" s="7">
        <v>0</v>
      </c>
      <c r="Q288" s="7">
        <v>0</v>
      </c>
      <c r="T288" t="s">
        <v>165</v>
      </c>
      <c r="Y288" s="7">
        <v>0</v>
      </c>
      <c r="AA288" s="7">
        <v>0</v>
      </c>
      <c r="AC288" s="7">
        <v>0</v>
      </c>
      <c r="AE288" s="7">
        <v>0</v>
      </c>
      <c r="AG288" s="7">
        <v>0</v>
      </c>
    </row>
    <row r="289" spans="2:33">
      <c r="C289" t="s">
        <v>110</v>
      </c>
      <c r="I289" s="7">
        <v>0</v>
      </c>
      <c r="K289" s="7">
        <v>0</v>
      </c>
      <c r="M289" s="7">
        <v>0</v>
      </c>
      <c r="O289" s="7">
        <v>0</v>
      </c>
      <c r="Q289" s="7">
        <v>0</v>
      </c>
      <c r="T289" t="s">
        <v>202</v>
      </c>
      <c r="Y289" s="7">
        <v>1725710</v>
      </c>
      <c r="AA289" s="7">
        <v>1725710</v>
      </c>
      <c r="AC289" s="7">
        <v>1725710</v>
      </c>
      <c r="AE289" s="7">
        <v>1725710</v>
      </c>
      <c r="AG289" s="7">
        <v>1725710</v>
      </c>
    </row>
    <row r="290" spans="2:33" ht="15" thickBot="1">
      <c r="C290" t="s">
        <v>125</v>
      </c>
      <c r="I290" s="54">
        <v>0</v>
      </c>
      <c r="K290" s="54">
        <v>0</v>
      </c>
      <c r="M290" s="54">
        <v>0</v>
      </c>
      <c r="O290" s="54">
        <v>0</v>
      </c>
      <c r="Q290" s="54">
        <v>0</v>
      </c>
      <c r="T290" t="s">
        <v>203</v>
      </c>
      <c r="Y290" s="54">
        <v>5000</v>
      </c>
      <c r="AA290" s="54">
        <v>5000</v>
      </c>
      <c r="AC290" s="54">
        <v>5000</v>
      </c>
      <c r="AE290" s="54">
        <v>5000</v>
      </c>
      <c r="AG290" s="54">
        <v>5000</v>
      </c>
    </row>
    <row r="291" spans="2:33" ht="15" thickTop="1"/>
    <row r="292" spans="2:33">
      <c r="C292" t="s">
        <v>182</v>
      </c>
      <c r="I292" s="7">
        <v>652800</v>
      </c>
      <c r="K292" s="7">
        <v>694579.20000000007</v>
      </c>
      <c r="M292" s="7">
        <v>739032.26880000008</v>
      </c>
      <c r="O292" s="7">
        <v>786330.33400320017</v>
      </c>
      <c r="Q292" s="7">
        <v>836655.47537940508</v>
      </c>
      <c r="T292" t="s">
        <v>166</v>
      </c>
      <c r="Y292" s="7">
        <v>3379995.3166666669</v>
      </c>
      <c r="AA292" s="7">
        <v>4057369.7936333334</v>
      </c>
      <c r="AC292" s="7">
        <v>4825575.7559823338</v>
      </c>
      <c r="AE292" s="7">
        <v>5681283.9696013369</v>
      </c>
      <c r="AG292" s="7">
        <v>6629439.0303653302</v>
      </c>
    </row>
    <row r="294" spans="2:33">
      <c r="B294" s="6" t="s">
        <v>183</v>
      </c>
      <c r="S294" s="6" t="s">
        <v>204</v>
      </c>
    </row>
    <row r="296" spans="2:33">
      <c r="C296" t="s">
        <v>184</v>
      </c>
      <c r="I296" s="7">
        <v>107679.89333333333</v>
      </c>
      <c r="K296" s="7">
        <v>115223.24666666666</v>
      </c>
      <c r="M296" s="7">
        <v>100741.61666666665</v>
      </c>
      <c r="O296" s="7">
        <v>96916.633333333331</v>
      </c>
      <c r="Q296" s="7">
        <v>95488.31</v>
      </c>
      <c r="T296" t="s">
        <v>205</v>
      </c>
      <c r="Y296" s="7">
        <v>228819.77333333332</v>
      </c>
      <c r="AA296" s="7">
        <v>200263.1933333333</v>
      </c>
      <c r="AC296" s="7">
        <v>186188.24333333335</v>
      </c>
      <c r="AE296" s="7">
        <v>175938.2766666667</v>
      </c>
      <c r="AG296" s="7">
        <v>167116.63333333336</v>
      </c>
    </row>
    <row r="297" spans="2:33" ht="15" thickBot="1">
      <c r="C297" t="s">
        <v>185</v>
      </c>
      <c r="I297" s="54">
        <v>-21013.226666666684</v>
      </c>
      <c r="K297" s="54">
        <v>-28556.580000000016</v>
      </c>
      <c r="M297" s="54">
        <v>-14074.949999999953</v>
      </c>
      <c r="O297" s="54">
        <v>-10249.966666666645</v>
      </c>
      <c r="Q297" s="54">
        <v>-8821.6433333333407</v>
      </c>
      <c r="T297" t="s">
        <v>206</v>
      </c>
      <c r="Y297" s="54">
        <v>420078</v>
      </c>
      <c r="AA297" s="54">
        <v>420078</v>
      </c>
      <c r="AC297" s="54">
        <v>420078</v>
      </c>
      <c r="AE297" s="54">
        <v>420078</v>
      </c>
      <c r="AG297" s="54">
        <v>420078</v>
      </c>
    </row>
    <row r="298" spans="2:33" ht="15" thickTop="1"/>
    <row r="299" spans="2:33">
      <c r="C299" t="s">
        <v>186</v>
      </c>
      <c r="I299" s="7">
        <v>86666.666666666642</v>
      </c>
      <c r="K299" s="7">
        <v>86666.666666666642</v>
      </c>
      <c r="M299" s="7">
        <v>86666.666666666701</v>
      </c>
      <c r="O299" s="7">
        <v>86666.666666666686</v>
      </c>
      <c r="Q299" s="7">
        <v>86666.666666666657</v>
      </c>
      <c r="T299" t="s">
        <v>167</v>
      </c>
      <c r="Y299" s="7">
        <v>648897.77333333332</v>
      </c>
      <c r="AA299" s="7">
        <v>620341.19333333336</v>
      </c>
      <c r="AC299" s="7">
        <v>606266.2433333334</v>
      </c>
      <c r="AE299" s="7">
        <v>596016.27666666673</v>
      </c>
      <c r="AG299" s="7">
        <v>587194.6333333333</v>
      </c>
    </row>
    <row r="301" spans="2:33">
      <c r="C301" t="s">
        <v>164</v>
      </c>
      <c r="I301" s="7">
        <v>566133.33333333337</v>
      </c>
      <c r="K301" s="7">
        <v>607912.53333333344</v>
      </c>
      <c r="M301" s="7">
        <v>652365.60213333333</v>
      </c>
      <c r="O301" s="7">
        <v>699663.66733653354</v>
      </c>
      <c r="Q301" s="7">
        <v>749988.80871273845</v>
      </c>
      <c r="S301" s="6" t="s">
        <v>169</v>
      </c>
      <c r="Y301" s="7">
        <v>2731097.5433333335</v>
      </c>
      <c r="AA301" s="7">
        <v>3437028.6003</v>
      </c>
      <c r="AC301" s="7">
        <v>4219309.5126490006</v>
      </c>
      <c r="AE301" s="7">
        <v>5085267.6929346705</v>
      </c>
      <c r="AG301" s="7">
        <v>6042244.3970319964</v>
      </c>
    </row>
    <row r="302" spans="2:33">
      <c r="S302" s="6"/>
    </row>
    <row r="303" spans="2:33" ht="6.75" customHeight="1">
      <c r="S303" s="32"/>
      <c r="T303" s="32"/>
      <c r="U303" s="32"/>
      <c r="V303" s="32"/>
      <c r="W303" s="32"/>
      <c r="X303" s="32"/>
      <c r="Y303" s="25"/>
      <c r="Z303" s="32"/>
      <c r="AA303" s="25"/>
      <c r="AB303" s="32"/>
      <c r="AC303" s="25"/>
      <c r="AD303" s="32"/>
      <c r="AE303" s="25"/>
      <c r="AF303" s="32"/>
      <c r="AG303" s="25"/>
    </row>
    <row r="304" spans="2:33" ht="26">
      <c r="C304" t="s">
        <v>163</v>
      </c>
      <c r="S304" s="23" t="s">
        <v>53</v>
      </c>
      <c r="X304" s="5"/>
      <c r="Y304"/>
      <c r="AA304"/>
      <c r="AC304"/>
      <c r="AE304" t="s">
        <v>284</v>
      </c>
      <c r="AG304" t="s">
        <v>288</v>
      </c>
    </row>
    <row r="305" spans="2:33" ht="15.75" customHeight="1">
      <c r="D305" t="s">
        <v>187</v>
      </c>
      <c r="I305" s="7">
        <v>63816.740000000005</v>
      </c>
      <c r="K305" s="7">
        <v>65731.242200000008</v>
      </c>
      <c r="M305" s="7">
        <v>67703.179466000016</v>
      </c>
      <c r="O305" s="7">
        <v>69734.274849980022</v>
      </c>
      <c r="Q305" s="7">
        <v>71826.303095479423</v>
      </c>
      <c r="S305" s="5"/>
    </row>
    <row r="306" spans="2:33" ht="15" thickBot="1">
      <c r="D306" t="s">
        <v>188</v>
      </c>
      <c r="I306" s="7">
        <v>0</v>
      </c>
      <c r="K306" s="7">
        <v>0</v>
      </c>
      <c r="M306" s="7">
        <v>0</v>
      </c>
      <c r="O306" s="7">
        <v>0</v>
      </c>
      <c r="Q306" s="7">
        <v>0</v>
      </c>
      <c r="Y306" s="33"/>
      <c r="Z306" s="34"/>
      <c r="AA306" s="33"/>
      <c r="AB306" s="34"/>
      <c r="AC306" s="35" t="s">
        <v>59</v>
      </c>
      <c r="AD306" s="34"/>
      <c r="AE306" s="33"/>
      <c r="AF306" s="34"/>
      <c r="AG306" s="33"/>
    </row>
    <row r="307" spans="2:33">
      <c r="D307" t="s">
        <v>189</v>
      </c>
      <c r="I307" s="7">
        <v>0</v>
      </c>
      <c r="K307" s="7">
        <v>0</v>
      </c>
      <c r="M307" s="7">
        <v>0</v>
      </c>
      <c r="O307" s="7">
        <v>0</v>
      </c>
      <c r="Q307" s="7">
        <v>0</v>
      </c>
      <c r="S307" s="22" t="s">
        <v>74</v>
      </c>
      <c r="Y307" s="10">
        <v>43465</v>
      </c>
      <c r="Z307" s="8"/>
      <c r="AA307" s="10">
        <v>43830</v>
      </c>
      <c r="AB307" s="8"/>
      <c r="AC307" s="10">
        <v>44196</v>
      </c>
      <c r="AD307" s="8"/>
      <c r="AE307" s="10">
        <v>44561</v>
      </c>
      <c r="AF307" s="8"/>
      <c r="AG307" s="10">
        <v>44926</v>
      </c>
    </row>
    <row r="308" spans="2:33">
      <c r="D308" t="s">
        <v>190</v>
      </c>
      <c r="I308" s="7">
        <v>0</v>
      </c>
      <c r="K308" s="7">
        <v>0</v>
      </c>
      <c r="M308" s="7">
        <v>0</v>
      </c>
      <c r="O308" s="7">
        <v>0</v>
      </c>
      <c r="Q308" s="7">
        <v>0</v>
      </c>
      <c r="Y308"/>
      <c r="AA308"/>
      <c r="AC308"/>
      <c r="AE308"/>
      <c r="AG308"/>
    </row>
    <row r="309" spans="2:33">
      <c r="D309" t="s">
        <v>111</v>
      </c>
      <c r="I309" s="7">
        <v>5000</v>
      </c>
      <c r="K309" s="7">
        <v>5000</v>
      </c>
      <c r="M309" s="7">
        <v>5000</v>
      </c>
      <c r="O309" s="7">
        <v>5000</v>
      </c>
      <c r="Q309" s="7">
        <v>5000</v>
      </c>
      <c r="S309" t="s">
        <v>115</v>
      </c>
      <c r="Y309" s="94">
        <v>0.23902478386152795</v>
      </c>
      <c r="AA309" s="94">
        <v>0.20208711674362381</v>
      </c>
      <c r="AC309" s="94">
        <v>0.17515478932855413</v>
      </c>
      <c r="AE309" s="94">
        <v>0.15462909358650001</v>
      </c>
      <c r="AG309" s="94">
        <v>0.13846766539108837</v>
      </c>
    </row>
    <row r="310" spans="2:33" ht="15" thickBot="1">
      <c r="D310" t="s">
        <v>191</v>
      </c>
      <c r="I310" s="54">
        <v>0</v>
      </c>
      <c r="K310" s="54">
        <v>0</v>
      </c>
      <c r="M310" s="54">
        <v>0</v>
      </c>
      <c r="O310" s="54">
        <v>0</v>
      </c>
      <c r="Q310" s="54">
        <v>0</v>
      </c>
      <c r="S310" t="s">
        <v>116</v>
      </c>
      <c r="Y310" s="94">
        <v>0.23902478386152795</v>
      </c>
      <c r="AA310" s="94">
        <v>0.20208711674362381</v>
      </c>
      <c r="AC310" s="94">
        <v>0.17515478932855413</v>
      </c>
      <c r="AE310" s="94">
        <v>0.15462909358650001</v>
      </c>
      <c r="AG310" s="94">
        <v>0.13846766539108837</v>
      </c>
    </row>
    <row r="311" spans="2:33" ht="15" thickTop="1">
      <c r="S311" t="s">
        <v>242</v>
      </c>
      <c r="Y311" s="94">
        <v>3.6615316155258572E-2</v>
      </c>
      <c r="AA311" s="94">
        <v>2.9094899004119875E-2</v>
      </c>
      <c r="AC311" s="94">
        <v>2.3700560411653044E-2</v>
      </c>
      <c r="AE311" s="94">
        <v>1.9664648163741156E-2</v>
      </c>
      <c r="AG311" s="94">
        <v>1.655014154162994E-2</v>
      </c>
    </row>
    <row r="312" spans="2:33">
      <c r="D312" t="s">
        <v>192</v>
      </c>
      <c r="I312" s="7">
        <v>68816.740000000005</v>
      </c>
      <c r="K312" s="7">
        <v>70731.242200000008</v>
      </c>
      <c r="M312" s="7">
        <v>72703.179466000016</v>
      </c>
      <c r="O312" s="7">
        <v>74734.274849980022</v>
      </c>
      <c r="Q312" s="7">
        <v>76826.303095479423</v>
      </c>
      <c r="S312" t="s">
        <v>48</v>
      </c>
      <c r="Y312" s="94">
        <v>6.5288820706269735E-2</v>
      </c>
      <c r="AA312" s="94">
        <v>4.9523031679132155E-2</v>
      </c>
      <c r="AC312" s="94">
        <v>3.2551207260584553E-2</v>
      </c>
      <c r="AE312" s="94">
        <v>2.4532291783189528E-2</v>
      </c>
      <c r="AG312" s="94">
        <v>1.9492466190333211E-2</v>
      </c>
    </row>
    <row r="313" spans="2:33">
      <c r="S313" t="s">
        <v>207</v>
      </c>
      <c r="Y313" s="97">
        <v>7465</v>
      </c>
      <c r="AA313" s="7">
        <v>41779.20000000007</v>
      </c>
      <c r="AC313" s="7">
        <v>44453.068800000008</v>
      </c>
      <c r="AE313" s="7">
        <v>47298.065203200094</v>
      </c>
      <c r="AG313" s="7">
        <v>50325.141376204905</v>
      </c>
    </row>
    <row r="314" spans="2:33">
      <c r="C314" t="s">
        <v>193</v>
      </c>
      <c r="I314" s="7">
        <v>497316.59333333338</v>
      </c>
      <c r="K314" s="7">
        <v>537181.29113333346</v>
      </c>
      <c r="M314" s="7">
        <v>579662.42266733327</v>
      </c>
      <c r="O314" s="7">
        <v>624929.39248655352</v>
      </c>
      <c r="Q314" s="7">
        <v>673162.50561725907</v>
      </c>
      <c r="S314" t="s">
        <v>118</v>
      </c>
      <c r="Y314" s="97">
        <v>635349.54333333345</v>
      </c>
      <c r="AA314" s="7">
        <v>705931.0569666666</v>
      </c>
      <c r="AC314" s="7">
        <v>782280.91234900057</v>
      </c>
      <c r="AE314" s="7">
        <v>865958.18028566986</v>
      </c>
      <c r="AG314" s="7">
        <v>956976.70409732591</v>
      </c>
    </row>
    <row r="315" spans="2:33">
      <c r="S315" t="s">
        <v>119</v>
      </c>
      <c r="Y315" s="94">
        <v>-7.6940593784211083E-3</v>
      </c>
      <c r="AA315" s="94">
        <v>-1.0456082050129344E-2</v>
      </c>
      <c r="AC315" s="94">
        <v>-4.0950924873803573E-3</v>
      </c>
      <c r="AE315" s="94">
        <v>-2.4292995420076278E-3</v>
      </c>
      <c r="AG315" s="94">
        <v>-1.7347451237601291E-3</v>
      </c>
    </row>
    <row r="316" spans="2:33">
      <c r="B316" s="6" t="s">
        <v>168</v>
      </c>
      <c r="S316" t="s">
        <v>280</v>
      </c>
      <c r="Y316" s="94">
        <v>5.0541201040929989E-2</v>
      </c>
      <c r="AA316" s="94">
        <v>4.9097573938897132E-2</v>
      </c>
      <c r="AC316" s="94">
        <v>4.8021717552182402E-2</v>
      </c>
      <c r="AE316" s="94">
        <v>4.7397463094026572E-2</v>
      </c>
      <c r="AG316" s="94">
        <v>4.6971651563693595E-2</v>
      </c>
    </row>
    <row r="317" spans="2:33">
      <c r="S317" t="s">
        <v>124</v>
      </c>
      <c r="Y317" s="94">
        <v>0</v>
      </c>
      <c r="AA317" s="94">
        <v>0</v>
      </c>
      <c r="AC317" s="94">
        <v>0</v>
      </c>
      <c r="AE317" s="94">
        <v>0</v>
      </c>
      <c r="AG317" s="94">
        <v>0</v>
      </c>
    </row>
    <row r="318" spans="2:33">
      <c r="C318" t="s">
        <v>279</v>
      </c>
      <c r="I318" s="7">
        <v>138032.95000000001</v>
      </c>
      <c r="K318" s="7">
        <v>168749.76583333337</v>
      </c>
      <c r="M318" s="7">
        <v>202618.48968166669</v>
      </c>
      <c r="O318" s="7">
        <v>241028.78779911669</v>
      </c>
      <c r="Q318" s="7">
        <v>283814.19848006684</v>
      </c>
      <c r="S318" t="s">
        <v>127</v>
      </c>
      <c r="Y318" s="94">
        <v>-7.6940593784211083E-3</v>
      </c>
      <c r="AA318" s="94">
        <v>-1.0456082050129344E-2</v>
      </c>
      <c r="AC318" s="94">
        <v>-4.0950924873803573E-3</v>
      </c>
      <c r="AE318" s="94">
        <v>-2.4292995420076278E-3</v>
      </c>
      <c r="AG318" s="94">
        <v>-1.7347451237601291E-3</v>
      </c>
    </row>
    <row r="319" spans="2:33" ht="15" thickBot="1">
      <c r="C319" t="s">
        <v>194</v>
      </c>
      <c r="I319" s="54">
        <v>0</v>
      </c>
      <c r="K319" s="54">
        <v>0</v>
      </c>
      <c r="M319" s="54">
        <v>0</v>
      </c>
      <c r="O319" s="54">
        <v>0</v>
      </c>
      <c r="Q319" s="54">
        <v>0</v>
      </c>
      <c r="S319" t="s">
        <v>128</v>
      </c>
      <c r="Y319" s="94">
        <v>0.39344179371268878</v>
      </c>
      <c r="AA319" s="94">
        <v>0.26662307700972598</v>
      </c>
      <c r="AC319" s="94">
        <v>0.19589419740143135</v>
      </c>
      <c r="AE319" s="94">
        <v>0.15086827414265888</v>
      </c>
      <c r="AG319" s="94">
        <v>0.11986673067514869</v>
      </c>
    </row>
    <row r="320" spans="2:33" ht="15" thickTop="1">
      <c r="S320" t="s">
        <v>73</v>
      </c>
      <c r="Y320" s="94">
        <v>0.1327614379084967</v>
      </c>
      <c r="AA320" s="94">
        <v>0.1247757875079856</v>
      </c>
      <c r="AC320" s="94">
        <v>0.11727047698118956</v>
      </c>
      <c r="AE320" s="94">
        <v>0.11021661370412549</v>
      </c>
      <c r="AG320" s="94">
        <v>0.10358704295500511</v>
      </c>
    </row>
    <row r="321" spans="2:33">
      <c r="C321" t="s">
        <v>195</v>
      </c>
      <c r="I321" s="7">
        <v>138032.95000000001</v>
      </c>
      <c r="K321" s="7">
        <v>168749.76583333337</v>
      </c>
      <c r="M321" s="7">
        <v>202618.48968166669</v>
      </c>
      <c r="O321" s="7">
        <v>241028.78779911669</v>
      </c>
      <c r="Q321" s="7">
        <v>283814.19848006684</v>
      </c>
      <c r="S321" t="s">
        <v>132</v>
      </c>
      <c r="Y321" s="94">
        <v>0.10541780024509805</v>
      </c>
      <c r="AA321" s="94">
        <v>0.1018332282337277</v>
      </c>
      <c r="AC321" s="94">
        <v>9.8376190777232822E-2</v>
      </c>
      <c r="AE321" s="94">
        <v>9.5041831172286775E-2</v>
      </c>
      <c r="AG321" s="94">
        <v>9.1825494909526961E-2</v>
      </c>
    </row>
    <row r="322" spans="2:33">
      <c r="S322" t="s">
        <v>134</v>
      </c>
      <c r="Y322" s="94">
        <v>0</v>
      </c>
      <c r="AA322" s="94">
        <v>0</v>
      </c>
      <c r="AC322" s="94">
        <v>0</v>
      </c>
      <c r="AE322" s="94">
        <v>0</v>
      </c>
      <c r="AG322" s="94">
        <v>0</v>
      </c>
    </row>
    <row r="323" spans="2:33">
      <c r="B323" s="6" t="s">
        <v>112</v>
      </c>
      <c r="I323" s="7">
        <v>635349.54333333345</v>
      </c>
      <c r="K323" s="7">
        <v>705931.05696666683</v>
      </c>
      <c r="M323" s="7">
        <v>782280.91234899999</v>
      </c>
      <c r="O323" s="7">
        <v>865958.18028567021</v>
      </c>
      <c r="Q323" s="7">
        <v>956976.70409732591</v>
      </c>
      <c r="S323" t="s">
        <v>135</v>
      </c>
      <c r="Y323" s="94">
        <v>0.34359703839869282</v>
      </c>
      <c r="AA323" s="94">
        <v>0.32844224397544097</v>
      </c>
      <c r="AC323" s="94">
        <v>0.3140228585356552</v>
      </c>
      <c r="AE323" s="94">
        <v>0.30030027604869902</v>
      </c>
      <c r="AG323" s="94">
        <v>0.28723803277405902</v>
      </c>
    </row>
    <row r="324" spans="2:33">
      <c r="B324" s="6"/>
      <c r="S324" t="s">
        <v>47</v>
      </c>
      <c r="Y324" s="94">
        <v>0.21144753370098041</v>
      </c>
      <c r="AA324" s="94">
        <v>0.24295251834971929</v>
      </c>
      <c r="AC324" s="94">
        <v>0.27416731073281475</v>
      </c>
      <c r="AE324" s="94">
        <v>0.30652357842033318</v>
      </c>
      <c r="AG324" s="94">
        <v>0.33922469502917346</v>
      </c>
    </row>
    <row r="325" spans="2:33">
      <c r="B325" s="6" t="s">
        <v>196</v>
      </c>
      <c r="I325" s="7">
        <v>0</v>
      </c>
      <c r="K325" s="7">
        <v>0</v>
      </c>
      <c r="M325" s="7">
        <v>0</v>
      </c>
      <c r="O325" s="7">
        <v>0</v>
      </c>
      <c r="Q325" s="7">
        <v>0</v>
      </c>
      <c r="S325" t="s">
        <v>114</v>
      </c>
      <c r="Y325" s="94">
        <v>0.13214950469771242</v>
      </c>
      <c r="AA325" s="94">
        <v>8.5489725625721685E-2</v>
      </c>
      <c r="AC325" s="94">
        <v>3.9855547802840452E-2</v>
      </c>
      <c r="AE325" s="94">
        <v>-6.223302371634154E-3</v>
      </c>
      <c r="AG325" s="94">
        <v>-5.1986662255114446E-2</v>
      </c>
    </row>
    <row r="326" spans="2:33">
      <c r="B326" s="6"/>
      <c r="S326" t="s">
        <v>38</v>
      </c>
      <c r="Y326" s="94">
        <v>5.2088255740251892</v>
      </c>
      <c r="AA326" s="94">
        <v>6.5405454888970294</v>
      </c>
      <c r="AC326" s="94">
        <v>7.9594993273098442</v>
      </c>
      <c r="AE326" s="94">
        <v>9.5320953336626761</v>
      </c>
      <c r="AG326" s="94">
        <v>11.29001978906369</v>
      </c>
    </row>
    <row r="327" spans="2:33">
      <c r="B327" s="6" t="s">
        <v>113</v>
      </c>
      <c r="I327" s="7">
        <v>0</v>
      </c>
      <c r="K327" s="7">
        <v>0</v>
      </c>
      <c r="M327" s="7">
        <v>0</v>
      </c>
      <c r="O327" s="7">
        <v>0</v>
      </c>
      <c r="Q327" s="7">
        <v>0</v>
      </c>
      <c r="S327" t="s">
        <v>39</v>
      </c>
      <c r="Y327" s="7">
        <v>476303.3666666667</v>
      </c>
      <c r="AA327" s="7">
        <v>508624.71113333339</v>
      </c>
      <c r="AC327" s="7">
        <v>565587.47266733332</v>
      </c>
      <c r="AE327" s="7">
        <v>614679.42581988685</v>
      </c>
      <c r="AG327" s="7">
        <v>664340.86228392564</v>
      </c>
    </row>
    <row r="328" spans="2:33">
      <c r="B328" s="6"/>
      <c r="S328" t="s">
        <v>44</v>
      </c>
      <c r="Y328" s="7">
        <v>476303.3666666667</v>
      </c>
      <c r="AA328" s="7">
        <v>508624.71113333339</v>
      </c>
      <c r="AC328" s="7">
        <v>565587.47266733332</v>
      </c>
      <c r="AE328" s="7">
        <v>614679.42581988685</v>
      </c>
      <c r="AG328" s="7">
        <v>664340.86228392564</v>
      </c>
    </row>
    <row r="329" spans="2:33">
      <c r="B329" s="6" t="s">
        <v>162</v>
      </c>
      <c r="I329" s="7">
        <v>635349.54333333345</v>
      </c>
      <c r="K329" s="7">
        <v>705931.05696666683</v>
      </c>
      <c r="M329" s="7">
        <v>782280.91234899999</v>
      </c>
      <c r="O329" s="7">
        <v>865958.18028567021</v>
      </c>
      <c r="Q329" s="7">
        <v>956976.70409732591</v>
      </c>
      <c r="S329" t="s">
        <v>51</v>
      </c>
      <c r="Y329" s="94">
        <v>0.97326829554738581</v>
      </c>
      <c r="AA329" s="94">
        <v>1.0163435026080061</v>
      </c>
      <c r="AC329" s="94">
        <v>1.0585206429743923</v>
      </c>
      <c r="AE329" s="94">
        <v>1.101265133543921</v>
      </c>
      <c r="AG329" s="94">
        <v>1.1438121571646416</v>
      </c>
    </row>
    <row r="331" spans="2:33" ht="6.75" customHeight="1">
      <c r="B331" s="32"/>
      <c r="C331" s="32"/>
      <c r="D331" s="32"/>
      <c r="E331" s="32"/>
      <c r="F331" s="32"/>
      <c r="G331" s="32"/>
      <c r="H331" s="32"/>
      <c r="I331" s="25"/>
      <c r="J331" s="32"/>
      <c r="K331" s="25"/>
      <c r="L331" s="32"/>
      <c r="M331" s="25"/>
      <c r="N331" s="32"/>
      <c r="O331" s="25"/>
      <c r="P331" s="32"/>
      <c r="Q331" s="25"/>
      <c r="S331" s="32"/>
      <c r="T331" s="32"/>
      <c r="U331" s="32"/>
      <c r="V331" s="32"/>
      <c r="W331" s="32"/>
      <c r="X331" s="32"/>
      <c r="Y331" s="25"/>
      <c r="Z331" s="32"/>
      <c r="AA331" s="25"/>
      <c r="AB331" s="32"/>
      <c r="AC331" s="25"/>
      <c r="AD331" s="32"/>
      <c r="AE331" s="25"/>
      <c r="AF331" s="32"/>
      <c r="AG331" s="25"/>
    </row>
    <row r="334" spans="2:33" ht="26">
      <c r="B334" s="5" t="s">
        <v>198</v>
      </c>
      <c r="S334" s="5">
        <v>0</v>
      </c>
    </row>
    <row r="336" spans="2:33" ht="26">
      <c r="B336" s="5" t="s">
        <v>179</v>
      </c>
      <c r="O336" s="7" t="s">
        <v>284</v>
      </c>
      <c r="Q336" s="7" t="s">
        <v>289</v>
      </c>
      <c r="S336" s="5" t="s">
        <v>200</v>
      </c>
      <c r="AE336" s="7" t="s">
        <v>284</v>
      </c>
      <c r="AG336" s="7" t="s">
        <v>289</v>
      </c>
    </row>
    <row r="337" spans="2:33" ht="6.75" customHeight="1">
      <c r="B337" s="43"/>
      <c r="C337" s="32"/>
      <c r="D337" s="32"/>
      <c r="E337" s="32"/>
      <c r="F337" s="32"/>
      <c r="G337" s="32"/>
      <c r="H337" s="32"/>
      <c r="I337" s="25"/>
      <c r="J337" s="32"/>
      <c r="K337" s="25"/>
      <c r="L337" s="32"/>
      <c r="M337" s="25"/>
      <c r="N337" s="32"/>
      <c r="O337" s="25"/>
      <c r="P337" s="32"/>
      <c r="Q337" s="25"/>
      <c r="S337" s="43"/>
      <c r="T337" s="32"/>
      <c r="U337" s="32"/>
      <c r="V337" s="32"/>
      <c r="W337" s="32"/>
      <c r="X337" s="32"/>
      <c r="Y337" s="25"/>
      <c r="Z337" s="32"/>
      <c r="AA337" s="25"/>
      <c r="AB337" s="32"/>
      <c r="AC337" s="25"/>
      <c r="AD337" s="32"/>
      <c r="AE337" s="25"/>
      <c r="AF337" s="32"/>
      <c r="AG337" s="25"/>
    </row>
    <row r="338" spans="2:33" ht="17.25" customHeight="1">
      <c r="B338" s="5"/>
      <c r="S338" s="5"/>
    </row>
    <row r="339" spans="2:33" ht="15" thickBot="1">
      <c r="I339" s="33"/>
      <c r="J339" s="34"/>
      <c r="K339" s="33"/>
      <c r="L339" s="34"/>
      <c r="M339" s="35" t="s">
        <v>58</v>
      </c>
      <c r="N339" s="34"/>
      <c r="O339" s="33"/>
      <c r="P339" s="34"/>
      <c r="Q339" s="33"/>
      <c r="Y339" s="33"/>
      <c r="Z339" s="34"/>
      <c r="AA339" s="33"/>
      <c r="AB339" s="34"/>
      <c r="AC339" s="35" t="s">
        <v>59</v>
      </c>
      <c r="AD339" s="34"/>
      <c r="AE339" s="33"/>
      <c r="AF339" s="34"/>
      <c r="AG339" s="33"/>
    </row>
    <row r="340" spans="2:33">
      <c r="B340" s="6" t="s">
        <v>180</v>
      </c>
      <c r="I340" s="8">
        <v>2019</v>
      </c>
      <c r="J340" s="8"/>
      <c r="K340" s="8">
        <v>2020</v>
      </c>
      <c r="L340" s="8"/>
      <c r="M340" s="8">
        <v>2021</v>
      </c>
      <c r="N340" s="8"/>
      <c r="O340" s="8">
        <v>2022</v>
      </c>
      <c r="P340" s="8"/>
      <c r="Q340" s="8">
        <v>2023</v>
      </c>
      <c r="S340" s="6" t="s">
        <v>201</v>
      </c>
      <c r="Y340" s="10">
        <v>43465</v>
      </c>
      <c r="Z340" s="8"/>
      <c r="AA340" s="10">
        <v>43830</v>
      </c>
      <c r="AB340" s="8"/>
      <c r="AC340" s="10">
        <v>44196</v>
      </c>
      <c r="AD340" s="8"/>
      <c r="AE340" s="10">
        <v>44561</v>
      </c>
      <c r="AF340" s="8"/>
      <c r="AG340" s="10">
        <v>44926</v>
      </c>
    </row>
    <row r="342" spans="2:33">
      <c r="C342" t="s">
        <v>86</v>
      </c>
      <c r="I342" s="7">
        <v>652800</v>
      </c>
      <c r="K342" s="7">
        <v>694579.20000000007</v>
      </c>
      <c r="M342" s="7">
        <v>739032.26880000008</v>
      </c>
      <c r="O342" s="7">
        <v>786330.33400320017</v>
      </c>
      <c r="Q342" s="7">
        <v>836655.47537940508</v>
      </c>
      <c r="T342" t="s">
        <v>281</v>
      </c>
      <c r="Y342" s="7">
        <v>1647261.0606666668</v>
      </c>
      <c r="AA342" s="7">
        <v>2320865.3608333338</v>
      </c>
      <c r="AC342" s="7">
        <v>3084163.7675423338</v>
      </c>
      <c r="AE342" s="7">
        <v>3934086.4677393371</v>
      </c>
      <c r="AG342" s="7">
        <v>4875723.9334102301</v>
      </c>
    </row>
    <row r="343" spans="2:33">
      <c r="C343" t="s">
        <v>181</v>
      </c>
      <c r="I343" s="7">
        <v>0</v>
      </c>
      <c r="K343" s="7">
        <v>0</v>
      </c>
      <c r="M343" s="7">
        <v>0</v>
      </c>
      <c r="O343" s="7">
        <v>0</v>
      </c>
      <c r="Q343" s="7">
        <v>0</v>
      </c>
      <c r="T343" t="s">
        <v>165</v>
      </c>
      <c r="Y343" s="7">
        <v>0</v>
      </c>
      <c r="AA343" s="7">
        <v>0</v>
      </c>
      <c r="AC343" s="7">
        <v>0</v>
      </c>
      <c r="AE343" s="7">
        <v>0</v>
      </c>
      <c r="AG343" s="7">
        <v>0</v>
      </c>
    </row>
    <row r="344" spans="2:33">
      <c r="C344" t="s">
        <v>110</v>
      </c>
      <c r="I344" s="7">
        <v>0</v>
      </c>
      <c r="K344" s="7">
        <v>0</v>
      </c>
      <c r="M344" s="7">
        <v>0</v>
      </c>
      <c r="O344" s="7">
        <v>0</v>
      </c>
      <c r="Q344" s="7">
        <v>0</v>
      </c>
      <c r="T344" t="s">
        <v>202</v>
      </c>
      <c r="Y344" s="7">
        <v>1725710</v>
      </c>
      <c r="AA344" s="7">
        <v>1725710</v>
      </c>
      <c r="AC344" s="7">
        <v>1725710</v>
      </c>
      <c r="AE344" s="7">
        <v>1725710</v>
      </c>
      <c r="AG344" s="7">
        <v>1725710</v>
      </c>
    </row>
    <row r="345" spans="2:33" ht="15" thickBot="1">
      <c r="C345" t="s">
        <v>125</v>
      </c>
      <c r="I345" s="54">
        <v>0</v>
      </c>
      <c r="K345" s="54">
        <v>0</v>
      </c>
      <c r="M345" s="54">
        <v>0</v>
      </c>
      <c r="O345" s="54">
        <v>0</v>
      </c>
      <c r="Q345" s="54">
        <v>0</v>
      </c>
      <c r="T345" t="s">
        <v>203</v>
      </c>
      <c r="Y345" s="54">
        <v>5000</v>
      </c>
      <c r="AA345" s="54">
        <v>5000</v>
      </c>
      <c r="AC345" s="54">
        <v>5000</v>
      </c>
      <c r="AE345" s="54">
        <v>5000</v>
      </c>
      <c r="AG345" s="54">
        <v>5000</v>
      </c>
    </row>
    <row r="346" spans="2:33" ht="15" thickTop="1"/>
    <row r="347" spans="2:33">
      <c r="C347" t="s">
        <v>182</v>
      </c>
      <c r="I347" s="7">
        <v>652800</v>
      </c>
      <c r="K347" s="7">
        <v>694579.20000000007</v>
      </c>
      <c r="M347" s="7">
        <v>739032.26880000008</v>
      </c>
      <c r="O347" s="7">
        <v>786330.33400320017</v>
      </c>
      <c r="Q347" s="7">
        <v>836655.47537940508</v>
      </c>
      <c r="T347" t="s">
        <v>166</v>
      </c>
      <c r="Y347" s="7">
        <v>3377971.0606666668</v>
      </c>
      <c r="AA347" s="7">
        <v>4051575.3608333338</v>
      </c>
      <c r="AC347" s="7">
        <v>4814873.7675423343</v>
      </c>
      <c r="AE347" s="7">
        <v>5664796.4677393371</v>
      </c>
      <c r="AG347" s="7">
        <v>6606433.9334102301</v>
      </c>
    </row>
    <row r="349" spans="2:33">
      <c r="B349" s="6" t="s">
        <v>183</v>
      </c>
      <c r="S349" s="6" t="s">
        <v>204</v>
      </c>
    </row>
    <row r="351" spans="2:33">
      <c r="C351" t="s">
        <v>184</v>
      </c>
      <c r="I351" s="7">
        <v>109704.14933333333</v>
      </c>
      <c r="K351" s="7">
        <v>118892.21066666668</v>
      </c>
      <c r="M351" s="7">
        <v>105359.45066666667</v>
      </c>
      <c r="O351" s="7">
        <v>102167.04733333334</v>
      </c>
      <c r="Q351" s="7">
        <v>101181.53</v>
      </c>
      <c r="T351" t="s">
        <v>205</v>
      </c>
      <c r="Y351" s="7">
        <v>233121.31733333334</v>
      </c>
      <c r="AA351" s="7">
        <v>207221.5733333333</v>
      </c>
      <c r="AC351" s="7">
        <v>194854.58933333331</v>
      </c>
      <c r="AE351" s="7">
        <v>185680.00866666663</v>
      </c>
      <c r="AG351" s="7">
        <v>177490.94533333331</v>
      </c>
    </row>
    <row r="352" spans="2:33" ht="15" thickBot="1">
      <c r="C352" t="s">
        <v>185</v>
      </c>
      <c r="I352" s="54">
        <v>-16711.68266666666</v>
      </c>
      <c r="K352" s="54">
        <v>-25899.744000000035</v>
      </c>
      <c r="M352" s="54">
        <v>-12366.983999999997</v>
      </c>
      <c r="O352" s="54">
        <v>-9174.5806666666758</v>
      </c>
      <c r="Q352" s="54">
        <v>-8189.0633333333244</v>
      </c>
      <c r="T352" t="s">
        <v>206</v>
      </c>
      <c r="Y352" s="54">
        <v>420078</v>
      </c>
      <c r="AA352" s="54">
        <v>420078</v>
      </c>
      <c r="AC352" s="54">
        <v>420078</v>
      </c>
      <c r="AE352" s="54">
        <v>420078</v>
      </c>
      <c r="AG352" s="54">
        <v>420078</v>
      </c>
    </row>
    <row r="353" spans="3:33" ht="15" thickTop="1"/>
    <row r="354" spans="3:33">
      <c r="C354" t="s">
        <v>186</v>
      </c>
      <c r="I354" s="7">
        <v>92992.466666666674</v>
      </c>
      <c r="K354" s="7">
        <v>92992.466666666645</v>
      </c>
      <c r="M354" s="7">
        <v>92992.466666666674</v>
      </c>
      <c r="O354" s="7">
        <v>92992.46666666666</v>
      </c>
      <c r="Q354" s="7">
        <v>92992.466666666674</v>
      </c>
      <c r="T354" t="s">
        <v>167</v>
      </c>
      <c r="Y354" s="7">
        <v>653199.31733333331</v>
      </c>
      <c r="AA354" s="7">
        <v>627299.57333333325</v>
      </c>
      <c r="AC354" s="7">
        <v>614932.58933333331</v>
      </c>
      <c r="AE354" s="7">
        <v>605758.00866666669</v>
      </c>
      <c r="AG354" s="7">
        <v>597568.94533333334</v>
      </c>
    </row>
    <row r="356" spans="3:33">
      <c r="C356" t="s">
        <v>164</v>
      </c>
      <c r="I356" s="7">
        <v>559807.53333333333</v>
      </c>
      <c r="K356" s="7">
        <v>601586.7333333334</v>
      </c>
      <c r="M356" s="7">
        <v>646039.8021333334</v>
      </c>
      <c r="O356" s="7">
        <v>693337.8673365335</v>
      </c>
      <c r="Q356" s="7">
        <v>743663.0087127384</v>
      </c>
      <c r="S356" s="6" t="s">
        <v>169</v>
      </c>
      <c r="Y356" s="7">
        <v>2724771.7433333336</v>
      </c>
      <c r="AA356" s="7">
        <v>3424275.7875000006</v>
      </c>
      <c r="AC356" s="7">
        <v>4199941.1782090012</v>
      </c>
      <c r="AE356" s="7">
        <v>5059038.45907267</v>
      </c>
      <c r="AG356" s="7">
        <v>6008864.9880768964</v>
      </c>
    </row>
    <row r="357" spans="3:33">
      <c r="S357" s="6"/>
    </row>
    <row r="358" spans="3:33" ht="6.75" customHeight="1">
      <c r="S358" s="32"/>
      <c r="T358" s="32"/>
      <c r="U358" s="32"/>
      <c r="V358" s="32"/>
      <c r="W358" s="32"/>
      <c r="X358" s="32"/>
      <c r="Y358" s="25"/>
      <c r="Z358" s="32"/>
      <c r="AA358" s="25"/>
      <c r="AB358" s="32"/>
      <c r="AC358" s="25"/>
      <c r="AD358" s="32"/>
      <c r="AE358" s="25"/>
      <c r="AF358" s="32"/>
      <c r="AG358" s="25"/>
    </row>
    <row r="359" spans="3:33" ht="26">
      <c r="C359" t="s">
        <v>163</v>
      </c>
      <c r="S359" s="23" t="s">
        <v>53</v>
      </c>
      <c r="X359" s="5"/>
      <c r="Y359"/>
      <c r="AA359"/>
      <c r="AC359"/>
      <c r="AE359" t="s">
        <v>284</v>
      </c>
      <c r="AG359" t="s">
        <v>289</v>
      </c>
    </row>
    <row r="360" spans="3:33" ht="15.75" customHeight="1">
      <c r="D360" t="s">
        <v>187</v>
      </c>
      <c r="I360" s="7">
        <v>63816.740000000005</v>
      </c>
      <c r="K360" s="7">
        <v>65731.242200000008</v>
      </c>
      <c r="M360" s="7">
        <v>67703.179466000016</v>
      </c>
      <c r="O360" s="7">
        <v>69734.274849980022</v>
      </c>
      <c r="Q360" s="7">
        <v>71826.303095479423</v>
      </c>
      <c r="S360" s="5"/>
    </row>
    <row r="361" spans="3:33" ht="15" thickBot="1">
      <c r="D361" t="s">
        <v>188</v>
      </c>
      <c r="I361" s="7">
        <v>0</v>
      </c>
      <c r="K361" s="7">
        <v>0</v>
      </c>
      <c r="M361" s="7">
        <v>0</v>
      </c>
      <c r="O361" s="7">
        <v>0</v>
      </c>
      <c r="Q361" s="7">
        <v>0</v>
      </c>
      <c r="Y361" s="33"/>
      <c r="Z361" s="34"/>
      <c r="AA361" s="33"/>
      <c r="AB361" s="34"/>
      <c r="AC361" s="35" t="s">
        <v>59</v>
      </c>
      <c r="AD361" s="34"/>
      <c r="AE361" s="33"/>
      <c r="AF361" s="34"/>
      <c r="AG361" s="33"/>
    </row>
    <row r="362" spans="3:33">
      <c r="D362" t="s">
        <v>189</v>
      </c>
      <c r="I362" s="7">
        <v>0</v>
      </c>
      <c r="K362" s="7">
        <v>0</v>
      </c>
      <c r="M362" s="7">
        <v>0</v>
      </c>
      <c r="O362" s="7">
        <v>0</v>
      </c>
      <c r="Q362" s="7">
        <v>0</v>
      </c>
      <c r="S362" s="22" t="s">
        <v>74</v>
      </c>
      <c r="Y362" s="10">
        <v>43465</v>
      </c>
      <c r="Z362" s="8"/>
      <c r="AA362" s="10">
        <v>43830</v>
      </c>
      <c r="AB362" s="8"/>
      <c r="AC362" s="10">
        <v>44196</v>
      </c>
      <c r="AD362" s="8"/>
      <c r="AE362" s="10">
        <v>44561</v>
      </c>
      <c r="AF362" s="8"/>
      <c r="AG362" s="10">
        <v>44926</v>
      </c>
    </row>
    <row r="363" spans="3:33">
      <c r="D363" t="s">
        <v>190</v>
      </c>
      <c r="I363" s="7">
        <v>0</v>
      </c>
      <c r="K363" s="7">
        <v>0</v>
      </c>
      <c r="M363" s="7">
        <v>0</v>
      </c>
      <c r="O363" s="7">
        <v>0</v>
      </c>
      <c r="Q363" s="7">
        <v>0</v>
      </c>
      <c r="Y363"/>
      <c r="AA363"/>
      <c r="AC363"/>
      <c r="AE363"/>
      <c r="AG363"/>
    </row>
    <row r="364" spans="3:33">
      <c r="D364" t="s">
        <v>111</v>
      </c>
      <c r="I364" s="7">
        <v>5000</v>
      </c>
      <c r="K364" s="7">
        <v>5000</v>
      </c>
      <c r="M364" s="7">
        <v>5000</v>
      </c>
      <c r="O364" s="7">
        <v>5000</v>
      </c>
      <c r="Q364" s="7">
        <v>5000</v>
      </c>
      <c r="S364" t="s">
        <v>115</v>
      </c>
      <c r="Y364" s="94">
        <v>0.2395797011610965</v>
      </c>
      <c r="AA364" s="94">
        <v>0.20283973695562041</v>
      </c>
      <c r="AC364" s="94">
        <v>0.17596252838834966</v>
      </c>
      <c r="AE364" s="94">
        <v>0.15543078795794246</v>
      </c>
      <c r="AG364" s="94">
        <v>0.13923685705029828</v>
      </c>
    </row>
    <row r="365" spans="3:33" ht="15" thickBot="1">
      <c r="D365" t="s">
        <v>191</v>
      </c>
      <c r="I365" s="54">
        <v>0</v>
      </c>
      <c r="K365" s="54">
        <v>0</v>
      </c>
      <c r="M365" s="54">
        <v>0</v>
      </c>
      <c r="O365" s="54">
        <v>0</v>
      </c>
      <c r="Q365" s="54">
        <v>0</v>
      </c>
      <c r="S365" t="s">
        <v>116</v>
      </c>
      <c r="Y365" s="94">
        <v>0.2395797011610965</v>
      </c>
      <c r="AA365" s="94">
        <v>0.20283973695562041</v>
      </c>
      <c r="AC365" s="94">
        <v>0.17596252838834966</v>
      </c>
      <c r="AE365" s="94">
        <v>0.15543078795794246</v>
      </c>
      <c r="AG365" s="94">
        <v>0.13923685705029828</v>
      </c>
    </row>
    <row r="366" spans="3:33" ht="15" thickTop="1">
      <c r="S366" t="s">
        <v>242</v>
      </c>
      <c r="Y366" s="94">
        <v>3.6700321869040514E-2</v>
      </c>
      <c r="AA366" s="94">
        <v>2.9203255288327148E-2</v>
      </c>
      <c r="AC366" s="94">
        <v>2.3809857271059075E-2</v>
      </c>
      <c r="AE366" s="94">
        <v>1.9766602054717364E-2</v>
      </c>
      <c r="AG366" s="94">
        <v>1.6642078029449024E-2</v>
      </c>
    </row>
    <row r="367" spans="3:33">
      <c r="D367" t="s">
        <v>192</v>
      </c>
      <c r="I367" s="7">
        <v>68816.740000000005</v>
      </c>
      <c r="K367" s="7">
        <v>70731.242200000008</v>
      </c>
      <c r="M367" s="7">
        <v>72703.179466000016</v>
      </c>
      <c r="O367" s="7">
        <v>74734.274849980022</v>
      </c>
      <c r="Q367" s="7">
        <v>76826.303095479423</v>
      </c>
      <c r="S367" t="s">
        <v>48</v>
      </c>
      <c r="Y367" s="94">
        <v>6.6597913319783514E-2</v>
      </c>
      <c r="AA367" s="94">
        <v>5.1227534639914245E-2</v>
      </c>
      <c r="AC367" s="94">
        <v>3.4161431949712599E-2</v>
      </c>
      <c r="AE367" s="94">
        <v>2.5969700506364841E-2</v>
      </c>
      <c r="AG367" s="94">
        <v>2.0752103970995452E-2</v>
      </c>
    </row>
    <row r="368" spans="3:33">
      <c r="S368" t="s">
        <v>207</v>
      </c>
      <c r="Y368" s="97">
        <v>7465</v>
      </c>
      <c r="AA368" s="7">
        <v>41779.20000000007</v>
      </c>
      <c r="AC368" s="7">
        <v>44453.068800000008</v>
      </c>
      <c r="AE368" s="7">
        <v>47298.065203200094</v>
      </c>
      <c r="AG368" s="7">
        <v>50325.141376204905</v>
      </c>
    </row>
    <row r="369" spans="2:33">
      <c r="C369" t="s">
        <v>193</v>
      </c>
      <c r="I369" s="7">
        <v>490990.79333333333</v>
      </c>
      <c r="K369" s="7">
        <v>530855.49113333342</v>
      </c>
      <c r="M369" s="7">
        <v>573336.62266733334</v>
      </c>
      <c r="O369" s="7">
        <v>618603.59248655348</v>
      </c>
      <c r="Q369" s="7">
        <v>666836.70561725902</v>
      </c>
      <c r="S369" t="s">
        <v>118</v>
      </c>
      <c r="Y369" s="97">
        <v>629023.74333333364</v>
      </c>
      <c r="AA369" s="7">
        <v>699504.04416666692</v>
      </c>
      <c r="AC369" s="7">
        <v>775665.39070900064</v>
      </c>
      <c r="AE369" s="7">
        <v>859097.28086366877</v>
      </c>
      <c r="AG369" s="7">
        <v>949826.52900422644</v>
      </c>
    </row>
    <row r="370" spans="2:33">
      <c r="S370" t="s">
        <v>119</v>
      </c>
      <c r="Y370" s="94">
        <v>-6.1332413283993175E-3</v>
      </c>
      <c r="AA370" s="94">
        <v>-9.5052894112575229E-3</v>
      </c>
      <c r="AC370" s="94">
        <v>-3.6115619089865715E-3</v>
      </c>
      <c r="AE370" s="94">
        <v>-2.1844545619515154E-3</v>
      </c>
      <c r="AG370" s="94">
        <v>-1.6186995611087711E-3</v>
      </c>
    </row>
    <row r="371" spans="2:33">
      <c r="B371" s="6" t="s">
        <v>168</v>
      </c>
      <c r="S371" t="s">
        <v>280</v>
      </c>
      <c r="Y371" s="94">
        <v>5.0658536935331767E-2</v>
      </c>
      <c r="AA371" s="94">
        <v>4.9250867482394135E-2</v>
      </c>
      <c r="AC371" s="94">
        <v>4.8174190889013029E-2</v>
      </c>
      <c r="AE371" s="94">
        <v>4.7537430348216725E-2</v>
      </c>
      <c r="AG371" s="94">
        <v>4.7095387223459018E-2</v>
      </c>
    </row>
    <row r="372" spans="2:33">
      <c r="S372" t="s">
        <v>124</v>
      </c>
      <c r="Y372" s="94">
        <v>0</v>
      </c>
      <c r="AA372" s="94">
        <v>0</v>
      </c>
      <c r="AC372" s="94">
        <v>0</v>
      </c>
      <c r="AE372" s="94">
        <v>0</v>
      </c>
      <c r="AG372" s="94">
        <v>0</v>
      </c>
    </row>
    <row r="373" spans="2:33">
      <c r="C373" t="s">
        <v>279</v>
      </c>
      <c r="I373" s="7">
        <v>138032.95000000001</v>
      </c>
      <c r="K373" s="7">
        <v>168648.55303333336</v>
      </c>
      <c r="M373" s="7">
        <v>202328.76804166671</v>
      </c>
      <c r="O373" s="7">
        <v>240493.68837711672</v>
      </c>
      <c r="Q373" s="7">
        <v>282989.82338696689</v>
      </c>
      <c r="S373" t="s">
        <v>127</v>
      </c>
      <c r="Y373" s="94">
        <v>-6.1332413283993175E-3</v>
      </c>
      <c r="AA373" s="94">
        <v>-9.5052894112575229E-3</v>
      </c>
      <c r="AC373" s="94">
        <v>-3.6115619089865715E-3</v>
      </c>
      <c r="AE373" s="94">
        <v>-2.1844545619515154E-3</v>
      </c>
      <c r="AG373" s="94">
        <v>-1.6186995611087711E-3</v>
      </c>
    </row>
    <row r="374" spans="2:33" ht="15" thickBot="1">
      <c r="C374" t="s">
        <v>194</v>
      </c>
      <c r="I374" s="54">
        <v>0</v>
      </c>
      <c r="K374" s="54">
        <v>0</v>
      </c>
      <c r="M374" s="54">
        <v>0</v>
      </c>
      <c r="O374" s="54">
        <v>0</v>
      </c>
      <c r="Q374" s="54">
        <v>0</v>
      </c>
      <c r="S374" t="s">
        <v>128</v>
      </c>
      <c r="Y374" s="94">
        <v>0.39653661033484</v>
      </c>
      <c r="AA374" s="94">
        <v>0.27028693000445919</v>
      </c>
      <c r="AC374" s="94">
        <v>0.19938389647296595</v>
      </c>
      <c r="AE374" s="94">
        <v>0.15397679070708284</v>
      </c>
      <c r="AG374" s="94">
        <v>0.12256004513269794</v>
      </c>
    </row>
    <row r="375" spans="2:33" ht="15" thickTop="1">
      <c r="S375" t="s">
        <v>73</v>
      </c>
      <c r="Y375" s="94">
        <v>0.14245169526143792</v>
      </c>
      <c r="AA375" s="94">
        <v>0.13388317223819349</v>
      </c>
      <c r="AC375" s="94">
        <v>0.12583004909604653</v>
      </c>
      <c r="AE375" s="94">
        <v>0.11826132433838958</v>
      </c>
      <c r="AG375" s="94">
        <v>0.11114786122029095</v>
      </c>
    </row>
    <row r="376" spans="2:33">
      <c r="C376" t="s">
        <v>195</v>
      </c>
      <c r="I376" s="7">
        <v>138032.95000000001</v>
      </c>
      <c r="K376" s="7">
        <v>168648.55303333336</v>
      </c>
      <c r="M376" s="7">
        <v>202328.76804166671</v>
      </c>
      <c r="O376" s="7">
        <v>240493.68837711672</v>
      </c>
      <c r="Q376" s="7">
        <v>282989.82338696689</v>
      </c>
      <c r="S376" t="s">
        <v>132</v>
      </c>
      <c r="Y376" s="94">
        <v>0.10541780024509805</v>
      </c>
      <c r="AA376" s="94">
        <v>0.1018332282337277</v>
      </c>
      <c r="AC376" s="94">
        <v>9.8376190777232822E-2</v>
      </c>
      <c r="AE376" s="94">
        <v>9.5041831172286775E-2</v>
      </c>
      <c r="AG376" s="94">
        <v>9.1825494909526961E-2</v>
      </c>
    </row>
    <row r="377" spans="2:33">
      <c r="S377" t="s">
        <v>134</v>
      </c>
      <c r="Y377" s="94">
        <v>0</v>
      </c>
      <c r="AA377" s="94">
        <v>0</v>
      </c>
      <c r="AC377" s="94">
        <v>0</v>
      </c>
      <c r="AE377" s="94">
        <v>0</v>
      </c>
      <c r="AG377" s="94">
        <v>0</v>
      </c>
    </row>
    <row r="378" spans="2:33">
      <c r="B378" s="6" t="s">
        <v>112</v>
      </c>
      <c r="I378" s="7">
        <v>629023.7433333334</v>
      </c>
      <c r="K378" s="7">
        <v>699504.0441666668</v>
      </c>
      <c r="M378" s="7">
        <v>775665.39070900006</v>
      </c>
      <c r="O378" s="7">
        <v>859097.28086367017</v>
      </c>
      <c r="Q378" s="7">
        <v>949826.52900422597</v>
      </c>
      <c r="S378" t="s">
        <v>135</v>
      </c>
      <c r="Y378" s="94">
        <v>0.35328729575163403</v>
      </c>
      <c r="AA378" s="94">
        <v>0.33754962870564886</v>
      </c>
      <c r="AC378" s="94">
        <v>0.32258243065051218</v>
      </c>
      <c r="AE378" s="94">
        <v>0.30834498668296312</v>
      </c>
      <c r="AG378" s="94">
        <v>0.29479885103934489</v>
      </c>
    </row>
    <row r="379" spans="2:33">
      <c r="B379" s="6"/>
      <c r="S379" t="s">
        <v>47</v>
      </c>
      <c r="Y379" s="94">
        <v>0.21144753370098041</v>
      </c>
      <c r="AA379" s="94">
        <v>0.24280680019403597</v>
      </c>
      <c r="AC379" s="94">
        <v>0.27377528232995429</v>
      </c>
      <c r="AE379" s="94">
        <v>0.3058430763477808</v>
      </c>
      <c r="AG379" s="94">
        <v>0.33823937297325063</v>
      </c>
    </row>
    <row r="380" spans="2:33">
      <c r="B380" s="6" t="s">
        <v>196</v>
      </c>
      <c r="I380" s="7">
        <v>0</v>
      </c>
      <c r="K380" s="7">
        <v>0</v>
      </c>
      <c r="M380" s="7">
        <v>0</v>
      </c>
      <c r="O380" s="7">
        <v>0</v>
      </c>
      <c r="Q380" s="7">
        <v>0</v>
      </c>
      <c r="S380" t="s">
        <v>114</v>
      </c>
      <c r="Y380" s="94">
        <v>0.14183976205065363</v>
      </c>
      <c r="AA380" s="94">
        <v>9.4742828511612892E-2</v>
      </c>
      <c r="AC380" s="94">
        <v>4.880714832055788E-2</v>
      </c>
      <c r="AE380" s="94">
        <v>2.5019103351823224E-3</v>
      </c>
      <c r="AG380" s="94">
        <v>-4.344052193390574E-2</v>
      </c>
    </row>
    <row r="381" spans="2:33">
      <c r="B381" s="6"/>
      <c r="S381" t="s">
        <v>38</v>
      </c>
      <c r="Y381" s="94">
        <v>5.1714246647671533</v>
      </c>
      <c r="AA381" s="94">
        <v>6.4587567616284911</v>
      </c>
      <c r="AC381" s="94">
        <v>7.8299212809037853</v>
      </c>
      <c r="AE381" s="94">
        <v>9.3515832835757546</v>
      </c>
      <c r="AG381" s="94">
        <v>11.055517501373934</v>
      </c>
    </row>
    <row r="382" spans="2:33">
      <c r="B382" s="6" t="s">
        <v>113</v>
      </c>
      <c r="I382" s="7">
        <v>0</v>
      </c>
      <c r="K382" s="7">
        <v>0</v>
      </c>
      <c r="M382" s="7">
        <v>0</v>
      </c>
      <c r="O382" s="7">
        <v>0</v>
      </c>
      <c r="Q382" s="7">
        <v>0</v>
      </c>
      <c r="S382" t="s">
        <v>39</v>
      </c>
      <c r="Y382" s="7">
        <v>474279.11066666665</v>
      </c>
      <c r="AA382" s="7">
        <v>504955.74713333347</v>
      </c>
      <c r="AC382" s="7">
        <v>560969.63866733341</v>
      </c>
      <c r="AE382" s="7">
        <v>609429.01181988686</v>
      </c>
      <c r="AG382" s="7">
        <v>658647.64228392567</v>
      </c>
    </row>
    <row r="383" spans="2:33">
      <c r="B383" s="6"/>
      <c r="S383" t="s">
        <v>44</v>
      </c>
      <c r="Y383" s="7">
        <v>474279.11066666665</v>
      </c>
      <c r="AA383" s="7">
        <v>504955.74713333347</v>
      </c>
      <c r="AC383" s="7">
        <v>560969.63866733341</v>
      </c>
      <c r="AE383" s="7">
        <v>609429.01181988686</v>
      </c>
      <c r="AG383" s="7">
        <v>658647.64228392567</v>
      </c>
    </row>
    <row r="384" spans="2:33">
      <c r="B384" s="6" t="s">
        <v>162</v>
      </c>
      <c r="I384" s="7">
        <v>629023.7433333334</v>
      </c>
      <c r="K384" s="7">
        <v>699504.0441666668</v>
      </c>
      <c r="M384" s="7">
        <v>775665.39070900006</v>
      </c>
      <c r="O384" s="7">
        <v>859097.28086367017</v>
      </c>
      <c r="Q384" s="7">
        <v>949826.52900422597</v>
      </c>
      <c r="S384" t="s">
        <v>51</v>
      </c>
      <c r="Y384" s="94">
        <v>0.96357803819444454</v>
      </c>
      <c r="AA384" s="94">
        <v>1.0070903997221148</v>
      </c>
      <c r="AC384" s="94">
        <v>1.0495690424566748</v>
      </c>
      <c r="AE384" s="94">
        <v>1.0925399208371045</v>
      </c>
      <c r="AG384" s="94">
        <v>1.1352660168434328</v>
      </c>
    </row>
    <row r="386" spans="2:33" ht="6.75" customHeight="1">
      <c r="B386" s="32"/>
      <c r="C386" s="32"/>
      <c r="D386" s="32"/>
      <c r="E386" s="32"/>
      <c r="F386" s="32"/>
      <c r="G386" s="32"/>
      <c r="H386" s="32"/>
      <c r="I386" s="25"/>
      <c r="J386" s="32"/>
      <c r="K386" s="25"/>
      <c r="L386" s="32"/>
      <c r="M386" s="25"/>
      <c r="N386" s="32"/>
      <c r="O386" s="25"/>
      <c r="P386" s="32"/>
      <c r="Q386" s="25"/>
      <c r="S386" s="32"/>
      <c r="T386" s="32"/>
      <c r="U386" s="32"/>
      <c r="V386" s="32"/>
      <c r="W386" s="32"/>
      <c r="X386" s="32"/>
      <c r="Y386" s="25"/>
      <c r="Z386" s="32"/>
      <c r="AA386" s="25"/>
      <c r="AB386" s="32"/>
      <c r="AC386" s="25"/>
      <c r="AD386" s="32"/>
      <c r="AE386" s="25"/>
      <c r="AF386" s="32"/>
      <c r="AG386" s="25"/>
    </row>
    <row r="389" spans="2:33" ht="26">
      <c r="B389" s="5" t="s">
        <v>198</v>
      </c>
      <c r="S389" s="5">
        <v>0</v>
      </c>
    </row>
    <row r="391" spans="2:33" ht="26">
      <c r="B391" s="5" t="s">
        <v>179</v>
      </c>
      <c r="O391" s="7" t="s">
        <v>284</v>
      </c>
      <c r="Q391" s="7" t="s">
        <v>290</v>
      </c>
      <c r="S391" s="5" t="s">
        <v>200</v>
      </c>
      <c r="AE391" s="7" t="s">
        <v>284</v>
      </c>
      <c r="AG391" s="7" t="s">
        <v>290</v>
      </c>
    </row>
    <row r="392" spans="2:33" ht="6.75" customHeight="1">
      <c r="B392" s="43"/>
      <c r="C392" s="32"/>
      <c r="D392" s="32"/>
      <c r="E392" s="32"/>
      <c r="F392" s="32"/>
      <c r="G392" s="32"/>
      <c r="H392" s="32"/>
      <c r="I392" s="25"/>
      <c r="J392" s="32"/>
      <c r="K392" s="25"/>
      <c r="L392" s="32"/>
      <c r="M392" s="25"/>
      <c r="N392" s="32"/>
      <c r="O392" s="25"/>
      <c r="P392" s="32"/>
      <c r="Q392" s="25"/>
      <c r="S392" s="43"/>
      <c r="T392" s="32"/>
      <c r="U392" s="32"/>
      <c r="V392" s="32"/>
      <c r="W392" s="32"/>
      <c r="X392" s="32"/>
      <c r="Y392" s="25"/>
      <c r="Z392" s="32"/>
      <c r="AA392" s="25"/>
      <c r="AB392" s="32"/>
      <c r="AC392" s="25"/>
      <c r="AD392" s="32"/>
      <c r="AE392" s="25"/>
      <c r="AF392" s="32"/>
      <c r="AG392" s="25"/>
    </row>
    <row r="393" spans="2:33" ht="17.25" customHeight="1">
      <c r="B393" s="5"/>
      <c r="S393" s="5"/>
    </row>
    <row r="394" spans="2:33" ht="15" thickBot="1">
      <c r="I394" s="33"/>
      <c r="J394" s="34"/>
      <c r="K394" s="33"/>
      <c r="L394" s="34"/>
      <c r="M394" s="35" t="s">
        <v>58</v>
      </c>
      <c r="N394" s="34"/>
      <c r="O394" s="33"/>
      <c r="P394" s="34"/>
      <c r="Q394" s="33"/>
      <c r="Y394" s="33"/>
      <c r="Z394" s="34"/>
      <c r="AA394" s="33"/>
      <c r="AB394" s="34"/>
      <c r="AC394" s="35" t="s">
        <v>59</v>
      </c>
      <c r="AD394" s="34"/>
      <c r="AE394" s="33"/>
      <c r="AF394" s="34"/>
      <c r="AG394" s="33"/>
    </row>
    <row r="395" spans="2:33">
      <c r="B395" s="6" t="s">
        <v>180</v>
      </c>
      <c r="I395" s="8">
        <v>2019</v>
      </c>
      <c r="J395" s="8"/>
      <c r="K395" s="8">
        <v>2020</v>
      </c>
      <c r="L395" s="8"/>
      <c r="M395" s="8">
        <v>2021</v>
      </c>
      <c r="N395" s="8"/>
      <c r="O395" s="8">
        <v>2022</v>
      </c>
      <c r="P395" s="8"/>
      <c r="Q395" s="8">
        <v>2023</v>
      </c>
      <c r="S395" s="6" t="s">
        <v>201</v>
      </c>
      <c r="Y395" s="10">
        <v>43465</v>
      </c>
      <c r="Z395" s="8"/>
      <c r="AA395" s="10">
        <v>43830</v>
      </c>
      <c r="AB395" s="8"/>
      <c r="AC395" s="10">
        <v>44196</v>
      </c>
      <c r="AD395" s="8"/>
      <c r="AE395" s="10">
        <v>44561</v>
      </c>
      <c r="AF395" s="8"/>
      <c r="AG395" s="10">
        <v>44926</v>
      </c>
    </row>
    <row r="397" spans="2:33">
      <c r="C397" t="s">
        <v>86</v>
      </c>
      <c r="I397" s="7">
        <v>652800</v>
      </c>
      <c r="K397" s="7">
        <v>694579.20000000007</v>
      </c>
      <c r="M397" s="7">
        <v>739032.26880000008</v>
      </c>
      <c r="O397" s="7">
        <v>786330.33400320017</v>
      </c>
      <c r="Q397" s="7">
        <v>836655.47537940508</v>
      </c>
      <c r="T397" t="s">
        <v>281</v>
      </c>
      <c r="Y397" s="7">
        <v>1640103.3646666666</v>
      </c>
      <c r="AA397" s="7">
        <v>2315284.2320333333</v>
      </c>
      <c r="AC397" s="7">
        <v>3083043.8589689997</v>
      </c>
      <c r="AE397" s="7">
        <v>3937792.1764040031</v>
      </c>
      <c r="AG397" s="7">
        <v>4884757.3461747952</v>
      </c>
    </row>
    <row r="398" spans="2:33">
      <c r="C398" t="s">
        <v>181</v>
      </c>
      <c r="I398" s="7">
        <v>0</v>
      </c>
      <c r="K398" s="7">
        <v>0</v>
      </c>
      <c r="M398" s="7">
        <v>0</v>
      </c>
      <c r="O398" s="7">
        <v>0</v>
      </c>
      <c r="Q398" s="7">
        <v>0</v>
      </c>
      <c r="T398" t="s">
        <v>165</v>
      </c>
      <c r="Y398" s="7">
        <v>0</v>
      </c>
      <c r="AA398" s="7">
        <v>0</v>
      </c>
      <c r="AC398" s="7">
        <v>0</v>
      </c>
      <c r="AE398" s="7">
        <v>0</v>
      </c>
      <c r="AG398" s="7">
        <v>0</v>
      </c>
    </row>
    <row r="399" spans="2:33">
      <c r="C399" t="s">
        <v>110</v>
      </c>
      <c r="I399" s="7">
        <v>0</v>
      </c>
      <c r="K399" s="7">
        <v>0</v>
      </c>
      <c r="M399" s="7">
        <v>0</v>
      </c>
      <c r="O399" s="7">
        <v>0</v>
      </c>
      <c r="Q399" s="7">
        <v>0</v>
      </c>
      <c r="T399" t="s">
        <v>202</v>
      </c>
      <c r="Y399" s="7">
        <v>1725710</v>
      </c>
      <c r="AA399" s="7">
        <v>1725710</v>
      </c>
      <c r="AC399" s="7">
        <v>1725710</v>
      </c>
      <c r="AE399" s="7">
        <v>1725710</v>
      </c>
      <c r="AG399" s="7">
        <v>1725710</v>
      </c>
    </row>
    <row r="400" spans="2:33" ht="15" thickBot="1">
      <c r="C400" t="s">
        <v>125</v>
      </c>
      <c r="I400" s="54">
        <v>0</v>
      </c>
      <c r="K400" s="54">
        <v>0</v>
      </c>
      <c r="M400" s="54">
        <v>0</v>
      </c>
      <c r="O400" s="54">
        <v>0</v>
      </c>
      <c r="Q400" s="54">
        <v>0</v>
      </c>
      <c r="T400" t="s">
        <v>203</v>
      </c>
      <c r="Y400" s="54">
        <v>5000</v>
      </c>
      <c r="AA400" s="54">
        <v>5000</v>
      </c>
      <c r="AC400" s="54">
        <v>5000</v>
      </c>
      <c r="AE400" s="54">
        <v>5000</v>
      </c>
      <c r="AG400" s="54">
        <v>5000</v>
      </c>
    </row>
    <row r="401" spans="2:33" ht="15" thickTop="1"/>
    <row r="402" spans="2:33">
      <c r="C402" t="s">
        <v>182</v>
      </c>
      <c r="I402" s="7">
        <v>652800</v>
      </c>
      <c r="K402" s="7">
        <v>694579.20000000007</v>
      </c>
      <c r="M402" s="7">
        <v>739032.26880000008</v>
      </c>
      <c r="O402" s="7">
        <v>786330.33400320017</v>
      </c>
      <c r="Q402" s="7">
        <v>836655.47537940508</v>
      </c>
      <c r="T402" t="s">
        <v>166</v>
      </c>
      <c r="Y402" s="7">
        <v>3370813.3646666668</v>
      </c>
      <c r="AA402" s="7">
        <v>4045994.2320333333</v>
      </c>
      <c r="AC402" s="7">
        <v>4813753.8589689992</v>
      </c>
      <c r="AE402" s="7">
        <v>5668502.1764040031</v>
      </c>
      <c r="AG402" s="7">
        <v>6615467.3461747952</v>
      </c>
    </row>
    <row r="404" spans="2:33">
      <c r="B404" s="6" t="s">
        <v>183</v>
      </c>
      <c r="S404" s="6" t="s">
        <v>204</v>
      </c>
    </row>
    <row r="406" spans="2:33">
      <c r="C406" t="s">
        <v>184</v>
      </c>
      <c r="I406" s="7">
        <v>116861.84533333333</v>
      </c>
      <c r="K406" s="7">
        <v>116957.75866666668</v>
      </c>
      <c r="M406" s="7">
        <v>100619.174</v>
      </c>
      <c r="O406" s="7">
        <v>97285.434666666653</v>
      </c>
      <c r="Q406" s="7">
        <v>96039.111333333334</v>
      </c>
      <c r="T406" t="s">
        <v>205</v>
      </c>
      <c r="Y406" s="7">
        <v>248331.42133333333</v>
      </c>
      <c r="AA406" s="7">
        <v>200147.12933333329</v>
      </c>
      <c r="AC406" s="7">
        <v>186900.08866666665</v>
      </c>
      <c r="AE406" s="7">
        <v>176281.32066666661</v>
      </c>
      <c r="AG406" s="7">
        <v>167614.34266666658</v>
      </c>
    </row>
    <row r="407" spans="2:33" ht="15" thickBot="1">
      <c r="C407" t="s">
        <v>185</v>
      </c>
      <c r="I407" s="54">
        <v>-1501.5786666666681</v>
      </c>
      <c r="K407" s="54">
        <v>-48184.292000000045</v>
      </c>
      <c r="M407" s="54">
        <v>-13247.040666666639</v>
      </c>
      <c r="O407" s="54">
        <v>-10618.76800000004</v>
      </c>
      <c r="Q407" s="54">
        <v>-8666.9780000000319</v>
      </c>
      <c r="T407" t="s">
        <v>206</v>
      </c>
      <c r="Y407" s="54">
        <v>420078</v>
      </c>
      <c r="AA407" s="54">
        <v>420078</v>
      </c>
      <c r="AC407" s="54">
        <v>420078</v>
      </c>
      <c r="AE407" s="54">
        <v>420078</v>
      </c>
      <c r="AG407" s="54">
        <v>420078</v>
      </c>
    </row>
    <row r="408" spans="2:33" ht="15" thickTop="1"/>
    <row r="409" spans="2:33">
      <c r="C409" t="s">
        <v>186</v>
      </c>
      <c r="I409" s="7">
        <v>115360.26666666666</v>
      </c>
      <c r="K409" s="7">
        <v>68773.466666666631</v>
      </c>
      <c r="M409" s="7">
        <v>87372.13333333336</v>
      </c>
      <c r="O409" s="7">
        <v>86666.666666666613</v>
      </c>
      <c r="Q409" s="7">
        <v>87372.133333333302</v>
      </c>
      <c r="T409" t="s">
        <v>167</v>
      </c>
      <c r="Y409" s="7">
        <v>668409.42133333336</v>
      </c>
      <c r="AA409" s="7">
        <v>620225.12933333335</v>
      </c>
      <c r="AC409" s="7">
        <v>606978.08866666665</v>
      </c>
      <c r="AE409" s="7">
        <v>596359.32066666661</v>
      </c>
      <c r="AG409" s="7">
        <v>587692.34266666661</v>
      </c>
    </row>
    <row r="411" spans="2:33">
      <c r="C411" t="s">
        <v>164</v>
      </c>
      <c r="I411" s="7">
        <v>537439.7333333334</v>
      </c>
      <c r="K411" s="7">
        <v>625805.7333333334</v>
      </c>
      <c r="M411" s="7">
        <v>651660.13546666666</v>
      </c>
      <c r="O411" s="7">
        <v>699663.66733653354</v>
      </c>
      <c r="Q411" s="7">
        <v>749283.34204607178</v>
      </c>
      <c r="S411" s="6" t="s">
        <v>169</v>
      </c>
      <c r="Y411" s="7">
        <v>2702403.9433333334</v>
      </c>
      <c r="AA411" s="7">
        <v>3425769.1026999997</v>
      </c>
      <c r="AC411" s="7">
        <v>4206775.7703023329</v>
      </c>
      <c r="AE411" s="7">
        <v>5072142.855737336</v>
      </c>
      <c r="AG411" s="7">
        <v>6027775.0035081282</v>
      </c>
    </row>
    <row r="412" spans="2:33">
      <c r="S412" s="6"/>
    </row>
    <row r="413" spans="2:33" ht="6.75" customHeight="1">
      <c r="S413" s="32"/>
      <c r="T413" s="32"/>
      <c r="U413" s="32"/>
      <c r="V413" s="32"/>
      <c r="W413" s="32"/>
      <c r="X413" s="32"/>
      <c r="Y413" s="25"/>
      <c r="Z413" s="32"/>
      <c r="AA413" s="25"/>
      <c r="AB413" s="32"/>
      <c r="AC413" s="25"/>
      <c r="AD413" s="32"/>
      <c r="AE413" s="25"/>
      <c r="AF413" s="32"/>
      <c r="AG413" s="25"/>
    </row>
    <row r="414" spans="2:33" ht="26">
      <c r="C414" t="s">
        <v>163</v>
      </c>
      <c r="S414" s="23" t="s">
        <v>53</v>
      </c>
      <c r="X414" s="5"/>
      <c r="Y414"/>
      <c r="AA414"/>
      <c r="AC414"/>
      <c r="AE414" t="s">
        <v>284</v>
      </c>
      <c r="AG414" t="s">
        <v>290</v>
      </c>
    </row>
    <row r="415" spans="2:33" ht="15.75" customHeight="1">
      <c r="D415" t="s">
        <v>187</v>
      </c>
      <c r="I415" s="7">
        <v>63816.740000000005</v>
      </c>
      <c r="K415" s="7">
        <v>65731.242200000008</v>
      </c>
      <c r="M415" s="7">
        <v>67703.179466000016</v>
      </c>
      <c r="O415" s="7">
        <v>69734.274849980022</v>
      </c>
      <c r="Q415" s="7">
        <v>71826.303095479423</v>
      </c>
      <c r="S415" s="5"/>
    </row>
    <row r="416" spans="2:33" ht="15" thickBot="1">
      <c r="D416" t="s">
        <v>188</v>
      </c>
      <c r="I416" s="7">
        <v>0</v>
      </c>
      <c r="K416" s="7">
        <v>0</v>
      </c>
      <c r="M416" s="7">
        <v>0</v>
      </c>
      <c r="O416" s="7">
        <v>0</v>
      </c>
      <c r="Q416" s="7">
        <v>0</v>
      </c>
      <c r="Y416" s="33"/>
      <c r="Z416" s="34"/>
      <c r="AA416" s="33"/>
      <c r="AB416" s="34"/>
      <c r="AC416" s="35" t="s">
        <v>59</v>
      </c>
      <c r="AD416" s="34"/>
      <c r="AE416" s="33"/>
      <c r="AF416" s="34"/>
      <c r="AG416" s="33"/>
    </row>
    <row r="417" spans="2:33">
      <c r="D417" t="s">
        <v>189</v>
      </c>
      <c r="I417" s="7">
        <v>0</v>
      </c>
      <c r="K417" s="7">
        <v>0</v>
      </c>
      <c r="M417" s="7">
        <v>0</v>
      </c>
      <c r="O417" s="7">
        <v>0</v>
      </c>
      <c r="Q417" s="7">
        <v>0</v>
      </c>
      <c r="S417" s="22" t="s">
        <v>74</v>
      </c>
      <c r="Y417" s="10">
        <v>43465</v>
      </c>
      <c r="Z417" s="8"/>
      <c r="AA417" s="10">
        <v>43830</v>
      </c>
      <c r="AB417" s="8"/>
      <c r="AC417" s="10">
        <v>44196</v>
      </c>
      <c r="AD417" s="8"/>
      <c r="AE417" s="10">
        <v>44561</v>
      </c>
      <c r="AF417" s="8"/>
      <c r="AG417" s="10">
        <v>44926</v>
      </c>
    </row>
    <row r="418" spans="2:33">
      <c r="D418" t="s">
        <v>190</v>
      </c>
      <c r="I418" s="7">
        <v>0</v>
      </c>
      <c r="K418" s="7">
        <v>0</v>
      </c>
      <c r="M418" s="7">
        <v>0</v>
      </c>
      <c r="O418" s="7">
        <v>0</v>
      </c>
      <c r="Q418" s="7">
        <v>0</v>
      </c>
      <c r="Y418"/>
      <c r="AA418"/>
      <c r="AC418"/>
      <c r="AE418"/>
      <c r="AG418"/>
    </row>
    <row r="419" spans="2:33">
      <c r="D419" t="s">
        <v>111</v>
      </c>
      <c r="I419" s="7">
        <v>5000</v>
      </c>
      <c r="K419" s="7">
        <v>5000</v>
      </c>
      <c r="M419" s="7">
        <v>5000</v>
      </c>
      <c r="O419" s="7">
        <v>5000</v>
      </c>
      <c r="Q419" s="7">
        <v>5000</v>
      </c>
      <c r="S419" t="s">
        <v>115</v>
      </c>
      <c r="Y419" s="94">
        <v>0.2415627025746532</v>
      </c>
      <c r="AA419" s="94">
        <v>0.20275131778512789</v>
      </c>
      <c r="AC419" s="94">
        <v>0.17567664861464372</v>
      </c>
      <c r="AE419" s="94">
        <v>0.15502921671729838</v>
      </c>
      <c r="AG419" s="94">
        <v>0.13880005058126368</v>
      </c>
    </row>
    <row r="420" spans="2:33" ht="15" thickBot="1">
      <c r="D420" t="s">
        <v>191</v>
      </c>
      <c r="I420" s="54">
        <v>0</v>
      </c>
      <c r="K420" s="54">
        <v>0</v>
      </c>
      <c r="M420" s="54">
        <v>0</v>
      </c>
      <c r="O420" s="54">
        <v>0</v>
      </c>
      <c r="Q420" s="54">
        <v>0</v>
      </c>
      <c r="S420" t="s">
        <v>116</v>
      </c>
      <c r="Y420" s="94">
        <v>0.2415627025746532</v>
      </c>
      <c r="AA420" s="94">
        <v>0.20275131778512789</v>
      </c>
      <c r="AC420" s="94">
        <v>0.17567664861464372</v>
      </c>
      <c r="AE420" s="94">
        <v>0.15502921671729838</v>
      </c>
      <c r="AG420" s="94">
        <v>0.13880005058126368</v>
      </c>
    </row>
    <row r="421" spans="2:33" ht="15" thickTop="1">
      <c r="S421" t="s">
        <v>242</v>
      </c>
      <c r="Y421" s="94">
        <v>3.7004090467930947E-2</v>
      </c>
      <c r="AA421" s="94">
        <v>2.9190525397985986E-2</v>
      </c>
      <c r="AC421" s="94">
        <v>2.3771174281726263E-2</v>
      </c>
      <c r="AE421" s="94">
        <v>1.9715533028981106E-2</v>
      </c>
      <c r="AG421" s="94">
        <v>1.6589869386597976E-2</v>
      </c>
    </row>
    <row r="422" spans="2:33">
      <c r="D422" t="s">
        <v>192</v>
      </c>
      <c r="I422" s="7">
        <v>68816.740000000005</v>
      </c>
      <c r="K422" s="7">
        <v>70731.242200000008</v>
      </c>
      <c r="M422" s="7">
        <v>72703.179466000016</v>
      </c>
      <c r="O422" s="7">
        <v>74734.274849980022</v>
      </c>
      <c r="Q422" s="7">
        <v>76826.303095479423</v>
      </c>
      <c r="S422" t="s">
        <v>48</v>
      </c>
      <c r="Y422" s="94">
        <v>7.125273190149467E-2</v>
      </c>
      <c r="AA422" s="94">
        <v>5.0515507793162745E-2</v>
      </c>
      <c r="AC422" s="94">
        <v>3.2636309635130541E-2</v>
      </c>
      <c r="AE422" s="94">
        <v>2.4705578737653909E-2</v>
      </c>
      <c r="AG422" s="94">
        <v>1.9660978944745455E-2</v>
      </c>
    </row>
    <row r="423" spans="2:33">
      <c r="S423" t="s">
        <v>207</v>
      </c>
      <c r="Y423" s="97">
        <v>7465</v>
      </c>
      <c r="AA423" s="7">
        <v>41779.20000000007</v>
      </c>
      <c r="AC423" s="7">
        <v>44453.068800000008</v>
      </c>
      <c r="AE423" s="7">
        <v>47298.065203200094</v>
      </c>
      <c r="AG423" s="7">
        <v>50325.141376204905</v>
      </c>
    </row>
    <row r="424" spans="2:33">
      <c r="C424" t="s">
        <v>193</v>
      </c>
      <c r="I424" s="7">
        <v>468622.9933333334</v>
      </c>
      <c r="K424" s="7">
        <v>555074.49113333342</v>
      </c>
      <c r="M424" s="7">
        <v>578956.9560006666</v>
      </c>
      <c r="O424" s="7">
        <v>624929.39248655352</v>
      </c>
      <c r="Q424" s="7">
        <v>672457.0389505924</v>
      </c>
      <c r="S424" t="s">
        <v>118</v>
      </c>
      <c r="Y424" s="97">
        <v>606655.94333333336</v>
      </c>
      <c r="AA424" s="7">
        <v>723365.15936666634</v>
      </c>
      <c r="AC424" s="7">
        <v>781006.66760233324</v>
      </c>
      <c r="AE424" s="7">
        <v>865367.08543500304</v>
      </c>
      <c r="AG424" s="7">
        <v>955632.14777079225</v>
      </c>
    </row>
    <row r="425" spans="2:33">
      <c r="S425" t="s">
        <v>119</v>
      </c>
      <c r="Y425" s="94">
        <v>-5.5564552826048517E-4</v>
      </c>
      <c r="AA425" s="94">
        <v>-1.783015900301203E-2</v>
      </c>
      <c r="AC425" s="94">
        <v>-3.8668807702848572E-3</v>
      </c>
      <c r="AE425" s="94">
        <v>-2.5242058478521876E-3</v>
      </c>
      <c r="AG425" s="94">
        <v>-1.7087409102045324E-3</v>
      </c>
    </row>
    <row r="426" spans="2:33">
      <c r="B426" s="6" t="s">
        <v>168</v>
      </c>
      <c r="S426" t="s">
        <v>280</v>
      </c>
      <c r="Y426" s="94">
        <v>5.1077837693553896E-2</v>
      </c>
      <c r="AA426" s="94">
        <v>4.9124930253091503E-2</v>
      </c>
      <c r="AC426" s="94">
        <v>4.8029589080557468E-2</v>
      </c>
      <c r="AE426" s="94">
        <v>4.7403572767371831E-2</v>
      </c>
      <c r="AG426" s="94">
        <v>4.6978380688627884E-2</v>
      </c>
    </row>
    <row r="427" spans="2:33">
      <c r="S427" t="s">
        <v>124</v>
      </c>
      <c r="Y427" s="94">
        <v>0</v>
      </c>
      <c r="AA427" s="94">
        <v>0</v>
      </c>
      <c r="AC427" s="94">
        <v>0</v>
      </c>
      <c r="AE427" s="94">
        <v>0</v>
      </c>
      <c r="AG427" s="94">
        <v>0</v>
      </c>
    </row>
    <row r="428" spans="2:33">
      <c r="C428" t="s">
        <v>279</v>
      </c>
      <c r="I428" s="7">
        <v>138032.95000000001</v>
      </c>
      <c r="K428" s="7">
        <v>168290.66823333336</v>
      </c>
      <c r="M428" s="7">
        <v>202049.71160166667</v>
      </c>
      <c r="O428" s="7">
        <v>240437.69294844999</v>
      </c>
      <c r="Q428" s="7">
        <v>283175.10882020014</v>
      </c>
      <c r="S428" t="s">
        <v>127</v>
      </c>
      <c r="Y428" s="94">
        <v>-5.5564552826048517E-4</v>
      </c>
      <c r="AA428" s="94">
        <v>-1.783015900301203E-2</v>
      </c>
      <c r="AC428" s="94">
        <v>-3.8668807702848572E-3</v>
      </c>
      <c r="AE428" s="94">
        <v>-2.5242058478521876E-3</v>
      </c>
      <c r="AG428" s="94">
        <v>-1.7087409102045324E-3</v>
      </c>
    </row>
    <row r="429" spans="2:33" ht="15" thickBot="1">
      <c r="C429" t="s">
        <v>194</v>
      </c>
      <c r="I429" s="54">
        <v>0</v>
      </c>
      <c r="K429" s="54">
        <v>0</v>
      </c>
      <c r="M429" s="54">
        <v>0</v>
      </c>
      <c r="O429" s="54">
        <v>0</v>
      </c>
      <c r="Q429" s="54">
        <v>0</v>
      </c>
      <c r="S429" t="s">
        <v>128</v>
      </c>
      <c r="Y429" s="94">
        <v>0.40754103414035758</v>
      </c>
      <c r="AA429" s="94">
        <v>0.26788293236404848</v>
      </c>
      <c r="AC429" s="94">
        <v>0.19687624193242781</v>
      </c>
      <c r="AE429" s="94">
        <v>0.15144509764638284</v>
      </c>
      <c r="AG429" s="94">
        <v>0.12031147117817073</v>
      </c>
    </row>
    <row r="430" spans="2:33" ht="15" thickTop="1">
      <c r="S430" t="s">
        <v>73</v>
      </c>
      <c r="Y430" s="94">
        <v>0.17671609477124181</v>
      </c>
      <c r="AA430" s="94">
        <v>9.9014578419086868E-2</v>
      </c>
      <c r="AC430" s="94">
        <v>0.11822505866381643</v>
      </c>
      <c r="AE430" s="94">
        <v>0.1102166137041254</v>
      </c>
      <c r="AG430" s="94">
        <v>0.10443024148465883</v>
      </c>
    </row>
    <row r="431" spans="2:33">
      <c r="C431" t="s">
        <v>195</v>
      </c>
      <c r="I431" s="7">
        <v>138032.95000000001</v>
      </c>
      <c r="K431" s="7">
        <v>168290.66823333336</v>
      </c>
      <c r="M431" s="7">
        <v>202049.71160166667</v>
      </c>
      <c r="O431" s="7">
        <v>240437.69294844999</v>
      </c>
      <c r="Q431" s="7">
        <v>283175.10882020014</v>
      </c>
      <c r="S431" t="s">
        <v>132</v>
      </c>
      <c r="Y431" s="94">
        <v>0.10541780024509805</v>
      </c>
      <c r="AA431" s="94">
        <v>0.1018332282337277</v>
      </c>
      <c r="AC431" s="94">
        <v>9.8376190777232822E-2</v>
      </c>
      <c r="AE431" s="94">
        <v>9.5041831172286775E-2</v>
      </c>
      <c r="AG431" s="94">
        <v>9.1825494909526961E-2</v>
      </c>
    </row>
    <row r="432" spans="2:33">
      <c r="S432" t="s">
        <v>134</v>
      </c>
      <c r="Y432" s="94">
        <v>0</v>
      </c>
      <c r="AA432" s="94">
        <v>0</v>
      </c>
      <c r="AC432" s="94">
        <v>0</v>
      </c>
      <c r="AE432" s="94">
        <v>0</v>
      </c>
      <c r="AG432" s="94">
        <v>0</v>
      </c>
    </row>
    <row r="433" spans="2:33">
      <c r="B433" s="6" t="s">
        <v>112</v>
      </c>
      <c r="I433" s="7">
        <v>606655.94333333336</v>
      </c>
      <c r="K433" s="7">
        <v>723365.1593666668</v>
      </c>
      <c r="M433" s="7">
        <v>781006.66760233324</v>
      </c>
      <c r="O433" s="7">
        <v>865367.08543500351</v>
      </c>
      <c r="Q433" s="7">
        <v>955632.14777079248</v>
      </c>
      <c r="S433" t="s">
        <v>135</v>
      </c>
      <c r="Y433" s="94">
        <v>0.3875516952614379</v>
      </c>
      <c r="AA433" s="94">
        <v>0.3026810348865423</v>
      </c>
      <c r="AC433" s="94">
        <v>0.31497744021828206</v>
      </c>
      <c r="AE433" s="94">
        <v>0.30030027604869897</v>
      </c>
      <c r="AG433" s="94">
        <v>0.28808123130371277</v>
      </c>
    </row>
    <row r="434" spans="2:33">
      <c r="B434" s="6"/>
      <c r="S434" t="s">
        <v>47</v>
      </c>
      <c r="Y434" s="94">
        <v>0.21144753370098041</v>
      </c>
      <c r="AA434" s="94">
        <v>0.24229154606606898</v>
      </c>
      <c r="AC434" s="94">
        <v>0.27339768523199109</v>
      </c>
      <c r="AE434" s="94">
        <v>0.30577186527242817</v>
      </c>
      <c r="AG434" s="94">
        <v>0.33846083262861143</v>
      </c>
    </row>
    <row r="435" spans="2:33">
      <c r="B435" s="6" t="s">
        <v>196</v>
      </c>
      <c r="I435" s="7">
        <v>0</v>
      </c>
      <c r="K435" s="7">
        <v>0</v>
      </c>
      <c r="M435" s="7">
        <v>0</v>
      </c>
      <c r="O435" s="7">
        <v>0</v>
      </c>
      <c r="Q435" s="7">
        <v>0</v>
      </c>
      <c r="S435" t="s">
        <v>114</v>
      </c>
      <c r="Y435" s="94">
        <v>0.1761041615604575</v>
      </c>
      <c r="AA435" s="94">
        <v>6.0389488820473319E-2</v>
      </c>
      <c r="AC435" s="94">
        <v>4.1579754986290962E-2</v>
      </c>
      <c r="AE435" s="94">
        <v>-5.4715892237292008E-3</v>
      </c>
      <c r="AG435" s="94">
        <v>-5.037960132489866E-2</v>
      </c>
    </row>
    <row r="436" spans="2:33">
      <c r="B436" s="6"/>
      <c r="S436" t="s">
        <v>38</v>
      </c>
      <c r="Y436" s="94">
        <v>5.0430368829072121</v>
      </c>
      <c r="AA436" s="94">
        <v>6.5234284144247514</v>
      </c>
      <c r="AC436" s="94">
        <v>7.9306880245763898</v>
      </c>
      <c r="AE436" s="94">
        <v>9.5051791427812642</v>
      </c>
      <c r="AG436" s="94">
        <v>11.256684605004329</v>
      </c>
    </row>
    <row r="437" spans="2:33">
      <c r="B437" s="6" t="s">
        <v>113</v>
      </c>
      <c r="I437" s="7">
        <v>0</v>
      </c>
      <c r="K437" s="7">
        <v>0</v>
      </c>
      <c r="M437" s="7">
        <v>0</v>
      </c>
      <c r="O437" s="7">
        <v>0</v>
      </c>
      <c r="Q437" s="7">
        <v>0</v>
      </c>
      <c r="S437" t="s">
        <v>39</v>
      </c>
      <c r="Y437" s="7">
        <v>467121.41466666665</v>
      </c>
      <c r="AA437" s="7">
        <v>506890.1991333334</v>
      </c>
      <c r="AC437" s="7">
        <v>565709.91533400002</v>
      </c>
      <c r="AE437" s="7">
        <v>614310.62448655348</v>
      </c>
      <c r="AG437" s="7">
        <v>663790.06095059239</v>
      </c>
    </row>
    <row r="438" spans="2:33">
      <c r="B438" s="6"/>
      <c r="S438" t="s">
        <v>44</v>
      </c>
      <c r="Y438" s="7">
        <v>467121.41466666665</v>
      </c>
      <c r="AA438" s="7">
        <v>506890.1991333334</v>
      </c>
      <c r="AC438" s="7">
        <v>565709.91533400002</v>
      </c>
      <c r="AE438" s="7">
        <v>614310.62448655348</v>
      </c>
      <c r="AG438" s="7">
        <v>663790.06095059239</v>
      </c>
    </row>
    <row r="439" spans="2:33">
      <c r="B439" s="6" t="s">
        <v>162</v>
      </c>
      <c r="I439" s="7">
        <v>606655.94333333336</v>
      </c>
      <c r="K439" s="7">
        <v>723365.1593666668</v>
      </c>
      <c r="M439" s="7">
        <v>781006.66760233324</v>
      </c>
      <c r="O439" s="7">
        <v>865367.08543500351</v>
      </c>
      <c r="Q439" s="7">
        <v>955632.14777079248</v>
      </c>
      <c r="S439" t="s">
        <v>51</v>
      </c>
      <c r="Y439" s="94">
        <v>0.92931363868464056</v>
      </c>
      <c r="AA439" s="94">
        <v>1.0414437394132545</v>
      </c>
      <c r="AC439" s="94">
        <v>1.0567964357909416</v>
      </c>
      <c r="AE439" s="94">
        <v>1.1005134203960161</v>
      </c>
      <c r="AG439" s="94">
        <v>1.1422050962344257</v>
      </c>
    </row>
    <row r="441" spans="2:33" ht="6.75" customHeight="1">
      <c r="B441" s="32"/>
      <c r="C441" s="32"/>
      <c r="D441" s="32"/>
      <c r="E441" s="32"/>
      <c r="F441" s="32"/>
      <c r="G441" s="32"/>
      <c r="H441" s="32"/>
      <c r="I441" s="25"/>
      <c r="J441" s="32"/>
      <c r="K441" s="25"/>
      <c r="L441" s="32"/>
      <c r="M441" s="25"/>
      <c r="N441" s="32"/>
      <c r="O441" s="25"/>
      <c r="P441" s="32"/>
      <c r="Q441" s="25"/>
      <c r="S441" s="32"/>
      <c r="T441" s="32"/>
      <c r="U441" s="32"/>
      <c r="V441" s="32"/>
      <c r="W441" s="32"/>
      <c r="X441" s="32"/>
      <c r="Y441" s="25"/>
      <c r="Z441" s="32"/>
      <c r="AA441" s="25"/>
      <c r="AB441" s="32"/>
      <c r="AC441" s="25"/>
      <c r="AD441" s="32"/>
      <c r="AE441" s="25"/>
      <c r="AF441" s="32"/>
      <c r="AG441" s="25"/>
    </row>
    <row r="444" spans="2:33" ht="26">
      <c r="B444" s="5" t="s">
        <v>198</v>
      </c>
      <c r="S444" s="5">
        <v>0</v>
      </c>
    </row>
    <row r="446" spans="2:33" ht="26">
      <c r="B446" s="5" t="s">
        <v>179</v>
      </c>
      <c r="O446" s="7" t="s">
        <v>284</v>
      </c>
      <c r="Q446" s="7" t="s">
        <v>291</v>
      </c>
      <c r="S446" s="5" t="s">
        <v>200</v>
      </c>
      <c r="AE446" s="7" t="s">
        <v>284</v>
      </c>
      <c r="AG446" s="7" t="s">
        <v>291</v>
      </c>
    </row>
    <row r="447" spans="2:33" ht="6.75" customHeight="1">
      <c r="B447" s="43"/>
      <c r="C447" s="32"/>
      <c r="D447" s="32"/>
      <c r="E447" s="32"/>
      <c r="F447" s="32"/>
      <c r="G447" s="32"/>
      <c r="H447" s="32"/>
      <c r="I447" s="25"/>
      <c r="J447" s="32"/>
      <c r="K447" s="25"/>
      <c r="L447" s="32"/>
      <c r="M447" s="25"/>
      <c r="N447" s="32"/>
      <c r="O447" s="25"/>
      <c r="P447" s="32"/>
      <c r="Q447" s="25"/>
      <c r="S447" s="43"/>
      <c r="T447" s="32"/>
      <c r="U447" s="32"/>
      <c r="V447" s="32"/>
      <c r="W447" s="32"/>
      <c r="X447" s="32"/>
      <c r="Y447" s="25"/>
      <c r="Z447" s="32"/>
      <c r="AA447" s="25"/>
      <c r="AB447" s="32"/>
      <c r="AC447" s="25"/>
      <c r="AD447" s="32"/>
      <c r="AE447" s="25"/>
      <c r="AF447" s="32"/>
      <c r="AG447" s="25"/>
    </row>
    <row r="448" spans="2:33" ht="17.25" customHeight="1">
      <c r="B448" s="5"/>
      <c r="S448" s="5"/>
    </row>
    <row r="449" spans="2:33" ht="15" thickBot="1">
      <c r="I449" s="33"/>
      <c r="J449" s="34"/>
      <c r="K449" s="33"/>
      <c r="L449" s="34"/>
      <c r="M449" s="35" t="s">
        <v>58</v>
      </c>
      <c r="N449" s="34"/>
      <c r="O449" s="33"/>
      <c r="P449" s="34"/>
      <c r="Q449" s="33"/>
      <c r="Y449" s="33"/>
      <c r="Z449" s="34"/>
      <c r="AA449" s="33"/>
      <c r="AB449" s="34"/>
      <c r="AC449" s="35" t="s">
        <v>59</v>
      </c>
      <c r="AD449" s="34"/>
      <c r="AE449" s="33"/>
      <c r="AF449" s="34"/>
      <c r="AG449" s="33"/>
    </row>
    <row r="450" spans="2:33">
      <c r="B450" s="6" t="s">
        <v>180</v>
      </c>
      <c r="I450" s="8">
        <v>2019</v>
      </c>
      <c r="J450" s="8"/>
      <c r="K450" s="8">
        <v>2020</v>
      </c>
      <c r="L450" s="8"/>
      <c r="M450" s="8">
        <v>2021</v>
      </c>
      <c r="N450" s="8"/>
      <c r="O450" s="8">
        <v>2022</v>
      </c>
      <c r="P450" s="8"/>
      <c r="Q450" s="8">
        <v>2023</v>
      </c>
      <c r="S450" s="6" t="s">
        <v>201</v>
      </c>
      <c r="Y450" s="10">
        <v>43465</v>
      </c>
      <c r="Z450" s="8"/>
      <c r="AA450" s="10">
        <v>43830</v>
      </c>
      <c r="AB450" s="8"/>
      <c r="AC450" s="10">
        <v>44196</v>
      </c>
      <c r="AD450" s="8"/>
      <c r="AE450" s="10">
        <v>44561</v>
      </c>
      <c r="AF450" s="8"/>
      <c r="AG450" s="10">
        <v>44926</v>
      </c>
    </row>
    <row r="452" spans="2:33">
      <c r="C452" t="s">
        <v>86</v>
      </c>
      <c r="I452" s="7">
        <v>652800</v>
      </c>
      <c r="K452" s="7">
        <v>694579.20000000007</v>
      </c>
      <c r="M452" s="7">
        <v>739032.26880000008</v>
      </c>
      <c r="O452" s="7">
        <v>786330.33400320017</v>
      </c>
      <c r="Q452" s="7">
        <v>836655.47537940508</v>
      </c>
      <c r="T452" t="s">
        <v>281</v>
      </c>
      <c r="Y452" s="7">
        <v>1645240.41</v>
      </c>
      <c r="AA452" s="7">
        <v>2312746.3789666668</v>
      </c>
      <c r="AC452" s="7">
        <v>3073177.0525823338</v>
      </c>
      <c r="AE452" s="7">
        <v>3923546.2776980042</v>
      </c>
      <c r="AG452" s="7">
        <v>4867471.4505334971</v>
      </c>
    </row>
    <row r="453" spans="2:33">
      <c r="C453" t="s">
        <v>181</v>
      </c>
      <c r="I453" s="7">
        <v>0</v>
      </c>
      <c r="K453" s="7">
        <v>0</v>
      </c>
      <c r="M453" s="7">
        <v>0</v>
      </c>
      <c r="O453" s="7">
        <v>0</v>
      </c>
      <c r="Q453" s="7">
        <v>0</v>
      </c>
      <c r="T453" t="s">
        <v>165</v>
      </c>
      <c r="Y453" s="7">
        <v>0</v>
      </c>
      <c r="AA453" s="7">
        <v>0</v>
      </c>
      <c r="AC453" s="7">
        <v>0</v>
      </c>
      <c r="AE453" s="7">
        <v>0</v>
      </c>
      <c r="AG453" s="7">
        <v>0</v>
      </c>
    </row>
    <row r="454" spans="2:33">
      <c r="C454" t="s">
        <v>110</v>
      </c>
      <c r="I454" s="7">
        <v>0</v>
      </c>
      <c r="K454" s="7">
        <v>0</v>
      </c>
      <c r="M454" s="7">
        <v>0</v>
      </c>
      <c r="O454" s="7">
        <v>0</v>
      </c>
      <c r="Q454" s="7">
        <v>0</v>
      </c>
      <c r="T454" t="s">
        <v>202</v>
      </c>
      <c r="Y454" s="7">
        <v>1725710</v>
      </c>
      <c r="AA454" s="7">
        <v>1725710</v>
      </c>
      <c r="AC454" s="7">
        <v>1725710</v>
      </c>
      <c r="AE454" s="7">
        <v>1725710</v>
      </c>
      <c r="AG454" s="7">
        <v>1725710</v>
      </c>
    </row>
    <row r="455" spans="2:33" ht="15" thickBot="1">
      <c r="C455" t="s">
        <v>125</v>
      </c>
      <c r="I455" s="54">
        <v>0</v>
      </c>
      <c r="K455" s="54">
        <v>0</v>
      </c>
      <c r="M455" s="54">
        <v>0</v>
      </c>
      <c r="O455" s="54">
        <v>0</v>
      </c>
      <c r="Q455" s="54">
        <v>0</v>
      </c>
      <c r="T455" t="s">
        <v>203</v>
      </c>
      <c r="Y455" s="54">
        <v>5000</v>
      </c>
      <c r="AA455" s="54">
        <v>5000</v>
      </c>
      <c r="AC455" s="54">
        <v>5000</v>
      </c>
      <c r="AE455" s="54">
        <v>5000</v>
      </c>
      <c r="AG455" s="54">
        <v>5000</v>
      </c>
    </row>
    <row r="456" spans="2:33" ht="15" thickTop="1"/>
    <row r="457" spans="2:33">
      <c r="C457" t="s">
        <v>182</v>
      </c>
      <c r="I457" s="7">
        <v>652800</v>
      </c>
      <c r="K457" s="7">
        <v>694579.20000000007</v>
      </c>
      <c r="M457" s="7">
        <v>739032.26880000008</v>
      </c>
      <c r="O457" s="7">
        <v>786330.33400320017</v>
      </c>
      <c r="Q457" s="7">
        <v>836655.47537940508</v>
      </c>
      <c r="T457" t="s">
        <v>166</v>
      </c>
      <c r="Y457" s="7">
        <v>3375950.41</v>
      </c>
      <c r="AA457" s="7">
        <v>4043456.3789666668</v>
      </c>
      <c r="AC457" s="7">
        <v>4803887.0525823338</v>
      </c>
      <c r="AE457" s="7">
        <v>5654256.2776980046</v>
      </c>
      <c r="AG457" s="7">
        <v>6598181.4505334971</v>
      </c>
    </row>
    <row r="459" spans="2:33">
      <c r="B459" s="6" t="s">
        <v>183</v>
      </c>
      <c r="S459" s="6" t="s">
        <v>204</v>
      </c>
    </row>
    <row r="461" spans="2:33">
      <c r="C461" t="s">
        <v>184</v>
      </c>
      <c r="I461" s="7">
        <v>111724.8</v>
      </c>
      <c r="K461" s="7">
        <v>124889.50933333335</v>
      </c>
      <c r="M461" s="7">
        <v>107821.23466666666</v>
      </c>
      <c r="O461" s="7">
        <v>101171.18666666666</v>
      </c>
      <c r="Q461" s="7">
        <v>98366.813333333324</v>
      </c>
      <c r="T461" t="s">
        <v>205</v>
      </c>
      <c r="Y461" s="7">
        <v>237415.2</v>
      </c>
      <c r="AA461" s="7">
        <v>219129.15733333334</v>
      </c>
      <c r="AC461" s="7">
        <v>197974.58933333337</v>
      </c>
      <c r="AE461" s="7">
        <v>183470.06933333341</v>
      </c>
      <c r="AG461" s="7">
        <v>171769.92266666671</v>
      </c>
    </row>
    <row r="462" spans="2:33" ht="15" thickBot="1">
      <c r="C462" t="s">
        <v>185</v>
      </c>
      <c r="I462" s="54">
        <v>-12417.799999999988</v>
      </c>
      <c r="K462" s="54">
        <v>-18286.042666666675</v>
      </c>
      <c r="M462" s="54">
        <v>-21154.56799999997</v>
      </c>
      <c r="O462" s="54">
        <v>-14504.51999999996</v>
      </c>
      <c r="Q462" s="54">
        <v>-11700.146666666697</v>
      </c>
      <c r="T462" t="s">
        <v>206</v>
      </c>
      <c r="Y462" s="54">
        <v>420078</v>
      </c>
      <c r="AA462" s="54">
        <v>420078</v>
      </c>
      <c r="AC462" s="54">
        <v>420078</v>
      </c>
      <c r="AE462" s="54">
        <v>420078</v>
      </c>
      <c r="AG462" s="54">
        <v>420078</v>
      </c>
    </row>
    <row r="463" spans="2:33" ht="15" thickTop="1"/>
    <row r="464" spans="2:33">
      <c r="C464" t="s">
        <v>186</v>
      </c>
      <c r="I464" s="7">
        <v>99307.000000000015</v>
      </c>
      <c r="K464" s="7">
        <v>106603.46666666667</v>
      </c>
      <c r="M464" s="7">
        <v>86666.666666666686</v>
      </c>
      <c r="O464" s="7">
        <v>86666.666666666701</v>
      </c>
      <c r="Q464" s="7">
        <v>86666.666666666628</v>
      </c>
      <c r="T464" t="s">
        <v>167</v>
      </c>
      <c r="Y464" s="7">
        <v>657493.19999999995</v>
      </c>
      <c r="AA464" s="7">
        <v>639207.15733333328</v>
      </c>
      <c r="AC464" s="7">
        <v>618052.58933333331</v>
      </c>
      <c r="AE464" s="7">
        <v>603548.06933333341</v>
      </c>
      <c r="AG464" s="7">
        <v>591847.92266666668</v>
      </c>
    </row>
    <row r="466" spans="3:33">
      <c r="C466" t="s">
        <v>164</v>
      </c>
      <c r="I466" s="7">
        <v>553493</v>
      </c>
      <c r="K466" s="7">
        <v>587975.7333333334</v>
      </c>
      <c r="M466" s="7">
        <v>652365.60213333345</v>
      </c>
      <c r="O466" s="7">
        <v>699663.66733653343</v>
      </c>
      <c r="Q466" s="7">
        <v>749988.80871273845</v>
      </c>
      <c r="S466" s="6" t="s">
        <v>169</v>
      </c>
      <c r="Y466" s="7">
        <v>2718457.21</v>
      </c>
      <c r="AA466" s="7">
        <v>3404249.2216333337</v>
      </c>
      <c r="AC466" s="7">
        <v>4185834.4632490007</v>
      </c>
      <c r="AE466" s="7">
        <v>5050708.2083646711</v>
      </c>
      <c r="AG466" s="7">
        <v>6006333.5278668301</v>
      </c>
    </row>
    <row r="467" spans="3:33">
      <c r="S467" s="6"/>
    </row>
    <row r="468" spans="3:33" ht="6.75" customHeight="1">
      <c r="S468" s="32"/>
      <c r="T468" s="32"/>
      <c r="U468" s="32"/>
      <c r="V468" s="32"/>
      <c r="W468" s="32"/>
      <c r="X468" s="32"/>
      <c r="Y468" s="25"/>
      <c r="Z468" s="32"/>
      <c r="AA468" s="25"/>
      <c r="AB468" s="32"/>
      <c r="AC468" s="25"/>
      <c r="AD468" s="32"/>
      <c r="AE468" s="25"/>
      <c r="AF468" s="32"/>
      <c r="AG468" s="25"/>
    </row>
    <row r="469" spans="3:33" ht="26">
      <c r="C469" t="s">
        <v>163</v>
      </c>
      <c r="S469" s="23" t="s">
        <v>53</v>
      </c>
      <c r="X469" s="5"/>
      <c r="Y469"/>
      <c r="AA469"/>
      <c r="AC469"/>
      <c r="AE469" t="s">
        <v>284</v>
      </c>
      <c r="AG469" t="s">
        <v>291</v>
      </c>
    </row>
    <row r="470" spans="3:33" ht="15.75" customHeight="1">
      <c r="D470" t="s">
        <v>187</v>
      </c>
      <c r="I470" s="7">
        <v>63816.740000000005</v>
      </c>
      <c r="K470" s="7">
        <v>65731.242200000008</v>
      </c>
      <c r="M470" s="7">
        <v>67703.179466000016</v>
      </c>
      <c r="O470" s="7">
        <v>69734.274849980022</v>
      </c>
      <c r="Q470" s="7">
        <v>71826.303095479423</v>
      </c>
      <c r="S470" s="5"/>
    </row>
    <row r="471" spans="3:33" ht="15" thickBot="1">
      <c r="D471" t="s">
        <v>188</v>
      </c>
      <c r="I471" s="7">
        <v>0</v>
      </c>
      <c r="K471" s="7">
        <v>0</v>
      </c>
      <c r="M471" s="7">
        <v>0</v>
      </c>
      <c r="O471" s="7">
        <v>0</v>
      </c>
      <c r="Q471" s="7">
        <v>0</v>
      </c>
      <c r="Y471" s="33"/>
      <c r="Z471" s="34"/>
      <c r="AA471" s="33"/>
      <c r="AB471" s="34"/>
      <c r="AC471" s="35" t="s">
        <v>59</v>
      </c>
      <c r="AD471" s="34"/>
      <c r="AE471" s="33"/>
      <c r="AF471" s="34"/>
      <c r="AG471" s="33"/>
    </row>
    <row r="472" spans="3:33">
      <c r="D472" t="s">
        <v>189</v>
      </c>
      <c r="I472" s="7">
        <v>0</v>
      </c>
      <c r="K472" s="7">
        <v>0</v>
      </c>
      <c r="M472" s="7">
        <v>0</v>
      </c>
      <c r="O472" s="7">
        <v>0</v>
      </c>
      <c r="Q472" s="7">
        <v>0</v>
      </c>
      <c r="S472" s="22" t="s">
        <v>74</v>
      </c>
      <c r="Y472" s="10">
        <v>43465</v>
      </c>
      <c r="Z472" s="8"/>
      <c r="AA472" s="10">
        <v>43830</v>
      </c>
      <c r="AB472" s="8"/>
      <c r="AC472" s="10">
        <v>44196</v>
      </c>
      <c r="AD472" s="8"/>
      <c r="AE472" s="10">
        <v>44561</v>
      </c>
      <c r="AF472" s="8"/>
      <c r="AG472" s="10">
        <v>44926</v>
      </c>
    </row>
    <row r="473" spans="3:33">
      <c r="D473" t="s">
        <v>190</v>
      </c>
      <c r="I473" s="7">
        <v>0</v>
      </c>
      <c r="K473" s="7">
        <v>0</v>
      </c>
      <c r="M473" s="7">
        <v>0</v>
      </c>
      <c r="O473" s="7">
        <v>0</v>
      </c>
      <c r="Q473" s="7">
        <v>0</v>
      </c>
      <c r="Y473"/>
      <c r="AA473"/>
      <c r="AC473"/>
      <c r="AE473"/>
      <c r="AG473"/>
    </row>
    <row r="474" spans="3:33">
      <c r="D474" t="s">
        <v>111</v>
      </c>
      <c r="I474" s="7">
        <v>5000</v>
      </c>
      <c r="K474" s="7">
        <v>5000</v>
      </c>
      <c r="M474" s="7">
        <v>5000</v>
      </c>
      <c r="O474" s="7">
        <v>5000</v>
      </c>
      <c r="Q474" s="7">
        <v>5000</v>
      </c>
      <c r="S474" t="s">
        <v>115</v>
      </c>
      <c r="Y474" s="94">
        <v>0.24013620578563383</v>
      </c>
      <c r="AA474" s="94">
        <v>0.20403300545274006</v>
      </c>
      <c r="AC474" s="94">
        <v>0.17655554114444627</v>
      </c>
      <c r="AE474" s="94">
        <v>0.15568714357739544</v>
      </c>
      <c r="AG474" s="94">
        <v>0.13929554053195348</v>
      </c>
    </row>
    <row r="475" spans="3:33" ht="15" thickBot="1">
      <c r="D475" t="s">
        <v>191</v>
      </c>
      <c r="I475" s="54">
        <v>0</v>
      </c>
      <c r="K475" s="54">
        <v>0</v>
      </c>
      <c r="M475" s="54">
        <v>0</v>
      </c>
      <c r="O475" s="54">
        <v>0</v>
      </c>
      <c r="Q475" s="54">
        <v>0</v>
      </c>
      <c r="S475" t="s">
        <v>116</v>
      </c>
      <c r="Y475" s="94">
        <v>0.24013620578563383</v>
      </c>
      <c r="AA475" s="94">
        <v>0.20403300545274006</v>
      </c>
      <c r="AC475" s="94">
        <v>0.17655554114444627</v>
      </c>
      <c r="AE475" s="94">
        <v>0.15568714357739544</v>
      </c>
      <c r="AG475" s="94">
        <v>0.13929554053195348</v>
      </c>
    </row>
    <row r="476" spans="3:33" ht="15" thickTop="1">
      <c r="S476" t="s">
        <v>242</v>
      </c>
      <c r="Y476" s="94">
        <v>3.6785570739220869E-2</v>
      </c>
      <c r="AA476" s="94">
        <v>2.9375052614984732E-2</v>
      </c>
      <c r="AC476" s="94">
        <v>2.3890099065786048E-2</v>
      </c>
      <c r="AE476" s="94">
        <v>1.9799203571963665E-2</v>
      </c>
      <c r="AG476" s="94">
        <v>1.6649092085220141E-2</v>
      </c>
    </row>
    <row r="477" spans="3:33">
      <c r="D477" t="s">
        <v>192</v>
      </c>
      <c r="I477" s="7">
        <v>68816.740000000005</v>
      </c>
      <c r="K477" s="7">
        <v>70731.242200000008</v>
      </c>
      <c r="M477" s="7">
        <v>72703.179466000016</v>
      </c>
      <c r="O477" s="7">
        <v>74734.274849980022</v>
      </c>
      <c r="Q477" s="7">
        <v>76826.303095479423</v>
      </c>
      <c r="S477" t="s">
        <v>48</v>
      </c>
      <c r="Y477" s="94">
        <v>6.7907887091103E-2</v>
      </c>
      <c r="AA477" s="94">
        <v>5.4000520968984882E-2</v>
      </c>
      <c r="AC477" s="94">
        <v>3.5084615309120076E-2</v>
      </c>
      <c r="AE477" s="94">
        <v>2.5785648876308173E-2</v>
      </c>
      <c r="AG477" s="94">
        <v>2.0209017008728809E-2</v>
      </c>
    </row>
    <row r="478" spans="3:33">
      <c r="S478" t="s">
        <v>207</v>
      </c>
      <c r="Y478" s="97">
        <v>7465</v>
      </c>
      <c r="AA478" s="7">
        <v>41779.20000000007</v>
      </c>
      <c r="AC478" s="7">
        <v>44453.068800000008</v>
      </c>
      <c r="AE478" s="7">
        <v>47298.065203200094</v>
      </c>
      <c r="AG478" s="7">
        <v>50325.141376204905</v>
      </c>
    </row>
    <row r="479" spans="3:33">
      <c r="C479" t="s">
        <v>193</v>
      </c>
      <c r="I479" s="7">
        <v>484676.26</v>
      </c>
      <c r="K479" s="7">
        <v>517244.49113333342</v>
      </c>
      <c r="M479" s="7">
        <v>579662.42266733339</v>
      </c>
      <c r="O479" s="7">
        <v>624929.39248655341</v>
      </c>
      <c r="Q479" s="7">
        <v>673162.50561725907</v>
      </c>
      <c r="S479" t="s">
        <v>118</v>
      </c>
      <c r="Y479" s="97">
        <v>622709.21</v>
      </c>
      <c r="AA479" s="7">
        <v>685792.01163333375</v>
      </c>
      <c r="AC479" s="7">
        <v>781585.24161566701</v>
      </c>
      <c r="AE479" s="7">
        <v>864873.74511567038</v>
      </c>
      <c r="AG479" s="7">
        <v>955625.31950215902</v>
      </c>
    </row>
    <row r="480" spans="3:33">
      <c r="S480" t="s">
        <v>119</v>
      </c>
      <c r="Y480" s="94">
        <v>-4.5679586032549646E-3</v>
      </c>
      <c r="AA480" s="94">
        <v>-6.7266251605507801E-3</v>
      </c>
      <c r="AC480" s="94">
        <v>-6.2141654804727144E-3</v>
      </c>
      <c r="AE480" s="94">
        <v>-3.4651441970167413E-3</v>
      </c>
      <c r="AG480" s="94">
        <v>-2.3165358567516603E-3</v>
      </c>
    </row>
    <row r="481" spans="2:33">
      <c r="B481" s="6" t="s">
        <v>168</v>
      </c>
      <c r="S481" t="s">
        <v>280</v>
      </c>
      <c r="Y481" s="94">
        <v>5.0776208465683377E-2</v>
      </c>
      <c r="AA481" s="94">
        <v>4.9510922828127184E-2</v>
      </c>
      <c r="AC481" s="94">
        <v>4.8239561483184645E-2</v>
      </c>
      <c r="AE481" s="94">
        <v>4.750707083646917E-2</v>
      </c>
      <c r="AG481" s="94">
        <v>4.7027493990201022E-2</v>
      </c>
    </row>
    <row r="482" spans="2:33">
      <c r="S482" t="s">
        <v>124</v>
      </c>
      <c r="Y482" s="94">
        <v>0</v>
      </c>
      <c r="AA482" s="94">
        <v>0</v>
      </c>
      <c r="AC482" s="94">
        <v>0</v>
      </c>
      <c r="AE482" s="94">
        <v>0</v>
      </c>
      <c r="AG482" s="94">
        <v>0</v>
      </c>
    </row>
    <row r="483" spans="2:33">
      <c r="C483" t="s">
        <v>279</v>
      </c>
      <c r="I483" s="7">
        <v>138032.95000000001</v>
      </c>
      <c r="K483" s="7">
        <v>168547.52050000001</v>
      </c>
      <c r="M483" s="7">
        <v>201922.81894833336</v>
      </c>
      <c r="O483" s="7">
        <v>239944.35262911671</v>
      </c>
      <c r="Q483" s="7">
        <v>282462.81388490024</v>
      </c>
      <c r="S483" t="s">
        <v>127</v>
      </c>
      <c r="Y483" s="94">
        <v>-4.5679586032549646E-3</v>
      </c>
      <c r="AA483" s="94">
        <v>-6.7266251605507801E-3</v>
      </c>
      <c r="AC483" s="94">
        <v>-6.2141654804727144E-3</v>
      </c>
      <c r="AE483" s="94">
        <v>-3.4651441970167413E-3</v>
      </c>
      <c r="AG483" s="94">
        <v>-2.3165358567516603E-3</v>
      </c>
    </row>
    <row r="484" spans="2:33" ht="15" thickBot="1">
      <c r="C484" t="s">
        <v>194</v>
      </c>
      <c r="I484" s="54">
        <v>0</v>
      </c>
      <c r="K484" s="54">
        <v>0</v>
      </c>
      <c r="M484" s="54">
        <v>0</v>
      </c>
      <c r="O484" s="54">
        <v>0</v>
      </c>
      <c r="Q484" s="54">
        <v>0</v>
      </c>
      <c r="S484" t="s">
        <v>128</v>
      </c>
      <c r="Y484" s="94">
        <v>0.39963351009595005</v>
      </c>
      <c r="AA484" s="94">
        <v>0.27638445925010185</v>
      </c>
      <c r="AC484" s="94">
        <v>0.2011119368517981</v>
      </c>
      <c r="AE484" s="94">
        <v>0.15382718250680172</v>
      </c>
      <c r="AG484" s="94">
        <v>0.12159247952071654</v>
      </c>
    </row>
    <row r="485" spans="2:33" ht="15" thickTop="1">
      <c r="S485" t="s">
        <v>73</v>
      </c>
      <c r="Y485" s="94">
        <v>0.15212469362745101</v>
      </c>
      <c r="AA485" s="94">
        <v>0.15347920966632267</v>
      </c>
      <c r="AC485" s="94">
        <v>0.11727047698118953</v>
      </c>
      <c r="AE485" s="94">
        <v>0.11021661370412551</v>
      </c>
      <c r="AG485" s="94">
        <v>0.10358704295500508</v>
      </c>
    </row>
    <row r="486" spans="2:33">
      <c r="C486" t="s">
        <v>195</v>
      </c>
      <c r="I486" s="7">
        <v>138032.95000000001</v>
      </c>
      <c r="K486" s="7">
        <v>168547.52050000001</v>
      </c>
      <c r="M486" s="7">
        <v>201922.81894833336</v>
      </c>
      <c r="O486" s="7">
        <v>239944.35262911671</v>
      </c>
      <c r="Q486" s="7">
        <v>282462.81388490024</v>
      </c>
      <c r="S486" t="s">
        <v>132</v>
      </c>
      <c r="Y486" s="94">
        <v>0.10541780024509805</v>
      </c>
      <c r="AA486" s="94">
        <v>0.1018332282337277</v>
      </c>
      <c r="AC486" s="94">
        <v>9.8376190777232822E-2</v>
      </c>
      <c r="AE486" s="94">
        <v>9.5041831172286775E-2</v>
      </c>
      <c r="AG486" s="94">
        <v>9.1825494909526961E-2</v>
      </c>
    </row>
    <row r="487" spans="2:33">
      <c r="S487" t="s">
        <v>134</v>
      </c>
      <c r="Y487" s="94">
        <v>0</v>
      </c>
      <c r="AA487" s="94">
        <v>0</v>
      </c>
      <c r="AC487" s="94">
        <v>0</v>
      </c>
      <c r="AE487" s="94">
        <v>0</v>
      </c>
      <c r="AG487" s="94">
        <v>0</v>
      </c>
    </row>
    <row r="488" spans="2:33">
      <c r="B488" s="6" t="s">
        <v>112</v>
      </c>
      <c r="I488" s="7">
        <v>622709.21</v>
      </c>
      <c r="K488" s="7">
        <v>685792.0116333334</v>
      </c>
      <c r="M488" s="7">
        <v>781585.24161566678</v>
      </c>
      <c r="O488" s="7">
        <v>864873.74511567014</v>
      </c>
      <c r="Q488" s="7">
        <v>955625.31950215925</v>
      </c>
      <c r="S488" t="s">
        <v>135</v>
      </c>
      <c r="Y488" s="94">
        <v>0.36296029411764713</v>
      </c>
      <c r="AA488" s="94">
        <v>0.35714566613377807</v>
      </c>
      <c r="AC488" s="94">
        <v>0.31402285853565515</v>
      </c>
      <c r="AE488" s="94">
        <v>0.30030027604869908</v>
      </c>
      <c r="AG488" s="94">
        <v>0.28723803277405902</v>
      </c>
    </row>
    <row r="489" spans="2:33">
      <c r="B489" s="6"/>
      <c r="S489" t="s">
        <v>47</v>
      </c>
      <c r="Y489" s="94">
        <v>0.21144753370098041</v>
      </c>
      <c r="AA489" s="94">
        <v>0.24266134157199062</v>
      </c>
      <c r="AC489" s="94">
        <v>0.27322598413220106</v>
      </c>
      <c r="AE489" s="94">
        <v>0.30514446951011326</v>
      </c>
      <c r="AG489" s="94">
        <v>0.33760947271253977</v>
      </c>
    </row>
    <row r="490" spans="2:33">
      <c r="B490" s="6" t="s">
        <v>196</v>
      </c>
      <c r="I490" s="7">
        <v>0</v>
      </c>
      <c r="K490" s="7">
        <v>0</v>
      </c>
      <c r="M490" s="7">
        <v>0</v>
      </c>
      <c r="O490" s="7">
        <v>0</v>
      </c>
      <c r="Q490" s="7">
        <v>0</v>
      </c>
      <c r="S490" t="s">
        <v>114</v>
      </c>
      <c r="Y490" s="94">
        <v>0.15151276041666673</v>
      </c>
      <c r="AA490" s="94">
        <v>0.11448432456178745</v>
      </c>
      <c r="AC490" s="94">
        <v>4.0796874403454086E-2</v>
      </c>
      <c r="AE490" s="94">
        <v>-4.8441934614141813E-3</v>
      </c>
      <c r="AG490" s="94">
        <v>-5.0371439938480755E-2</v>
      </c>
    </row>
    <row r="491" spans="2:33">
      <c r="B491" s="6"/>
      <c r="S491" t="s">
        <v>38</v>
      </c>
      <c r="Y491" s="94">
        <v>5.1345784412675304</v>
      </c>
      <c r="AA491" s="94">
        <v>6.3257370205854686</v>
      </c>
      <c r="AC491" s="94">
        <v>7.7726186015401693</v>
      </c>
      <c r="AE491" s="94">
        <v>9.3683611380673923</v>
      </c>
      <c r="AG491" s="94">
        <v>11.148440668346561</v>
      </c>
    </row>
    <row r="492" spans="2:33">
      <c r="B492" s="6" t="s">
        <v>113</v>
      </c>
      <c r="I492" s="7">
        <v>0</v>
      </c>
      <c r="K492" s="7">
        <v>0</v>
      </c>
      <c r="M492" s="7">
        <v>0</v>
      </c>
      <c r="O492" s="7">
        <v>0</v>
      </c>
      <c r="Q492" s="7">
        <v>0</v>
      </c>
      <c r="S492" t="s">
        <v>39</v>
      </c>
      <c r="Y492" s="7">
        <v>472258.45999999996</v>
      </c>
      <c r="AA492" s="7">
        <v>498958.44846666674</v>
      </c>
      <c r="AC492" s="7">
        <v>558507.85466733342</v>
      </c>
      <c r="AE492" s="7">
        <v>610424.8724865535</v>
      </c>
      <c r="AG492" s="7">
        <v>661462.35895059234</v>
      </c>
    </row>
    <row r="493" spans="2:33">
      <c r="B493" s="6"/>
      <c r="S493" t="s">
        <v>44</v>
      </c>
      <c r="Y493" s="7">
        <v>472258.45999999996</v>
      </c>
      <c r="AA493" s="7">
        <v>498958.44846666674</v>
      </c>
      <c r="AC493" s="7">
        <v>558507.85466733342</v>
      </c>
      <c r="AE493" s="7">
        <v>610424.8724865535</v>
      </c>
      <c r="AG493" s="7">
        <v>661462.35895059234</v>
      </c>
    </row>
    <row r="494" spans="2:33">
      <c r="B494" s="6" t="s">
        <v>162</v>
      </c>
      <c r="I494" s="7">
        <v>622709.21</v>
      </c>
      <c r="K494" s="7">
        <v>685792.0116333334</v>
      </c>
      <c r="M494" s="7">
        <v>781585.24161566678</v>
      </c>
      <c r="O494" s="7">
        <v>864873.74511567014</v>
      </c>
      <c r="Q494" s="7">
        <v>955625.31950215925</v>
      </c>
      <c r="S494" t="s">
        <v>51</v>
      </c>
      <c r="Y494" s="94">
        <v>0.95390503982843133</v>
      </c>
      <c r="AA494" s="94">
        <v>0.98734890367194028</v>
      </c>
      <c r="AC494" s="94">
        <v>1.0575793163737788</v>
      </c>
      <c r="AE494" s="94">
        <v>1.099886024633701</v>
      </c>
      <c r="AG494" s="94">
        <v>1.1421969348480077</v>
      </c>
    </row>
    <row r="496" spans="2:33" ht="6.75" customHeight="1">
      <c r="B496" s="32"/>
      <c r="C496" s="32"/>
      <c r="D496" s="32"/>
      <c r="E496" s="32"/>
      <c r="F496" s="32"/>
      <c r="G496" s="32"/>
      <c r="H496" s="32"/>
      <c r="I496" s="25"/>
      <c r="J496" s="32"/>
      <c r="K496" s="25"/>
      <c r="L496" s="32"/>
      <c r="M496" s="25"/>
      <c r="N496" s="32"/>
      <c r="O496" s="25"/>
      <c r="P496" s="32"/>
      <c r="Q496" s="25"/>
      <c r="S496" s="32"/>
      <c r="T496" s="32"/>
      <c r="U496" s="32"/>
      <c r="V496" s="32"/>
      <c r="W496" s="32"/>
      <c r="X496" s="32"/>
      <c r="Y496" s="25"/>
      <c r="Z496" s="32"/>
      <c r="AA496" s="25"/>
      <c r="AB496" s="32"/>
      <c r="AC496" s="25"/>
      <c r="AD496" s="32"/>
      <c r="AE496" s="25"/>
      <c r="AF496" s="32"/>
      <c r="AG496" s="25"/>
    </row>
    <row r="499" spans="2:33" ht="26">
      <c r="B499" s="5" t="s">
        <v>198</v>
      </c>
      <c r="S499" s="5">
        <v>0</v>
      </c>
    </row>
    <row r="501" spans="2:33" ht="26">
      <c r="B501" s="5" t="s">
        <v>179</v>
      </c>
      <c r="O501" s="7" t="s">
        <v>284</v>
      </c>
      <c r="Q501" s="7" t="s">
        <v>292</v>
      </c>
      <c r="S501" s="5" t="s">
        <v>200</v>
      </c>
      <c r="AE501" s="7" t="s">
        <v>284</v>
      </c>
      <c r="AG501" s="7" t="s">
        <v>292</v>
      </c>
    </row>
    <row r="502" spans="2:33" ht="6.75" customHeight="1">
      <c r="B502" s="43"/>
      <c r="C502" s="32"/>
      <c r="D502" s="32"/>
      <c r="E502" s="32"/>
      <c r="F502" s="32"/>
      <c r="G502" s="32"/>
      <c r="H502" s="32"/>
      <c r="I502" s="25"/>
      <c r="J502" s="32"/>
      <c r="K502" s="25"/>
      <c r="L502" s="32"/>
      <c r="M502" s="25"/>
      <c r="N502" s="32"/>
      <c r="O502" s="25"/>
      <c r="P502" s="32"/>
      <c r="Q502" s="25"/>
      <c r="S502" s="43"/>
      <c r="T502" s="32"/>
      <c r="U502" s="32"/>
      <c r="V502" s="32"/>
      <c r="W502" s="32"/>
      <c r="X502" s="32"/>
      <c r="Y502" s="25"/>
      <c r="Z502" s="32"/>
      <c r="AA502" s="25"/>
      <c r="AB502" s="32"/>
      <c r="AC502" s="25"/>
      <c r="AD502" s="32"/>
      <c r="AE502" s="25"/>
      <c r="AF502" s="32"/>
      <c r="AG502" s="25"/>
    </row>
    <row r="503" spans="2:33" ht="17.25" customHeight="1">
      <c r="B503" s="5"/>
      <c r="S503" s="5"/>
    </row>
    <row r="504" spans="2:33" ht="15" thickBot="1">
      <c r="I504" s="33"/>
      <c r="J504" s="34"/>
      <c r="K504" s="33"/>
      <c r="L504" s="34"/>
      <c r="M504" s="35" t="s">
        <v>58</v>
      </c>
      <c r="N504" s="34"/>
      <c r="O504" s="33"/>
      <c r="P504" s="34"/>
      <c r="Q504" s="33"/>
      <c r="Y504" s="33"/>
      <c r="Z504" s="34"/>
      <c r="AA504" s="33"/>
      <c r="AB504" s="34"/>
      <c r="AC504" s="35" t="s">
        <v>59</v>
      </c>
      <c r="AD504" s="34"/>
      <c r="AE504" s="33"/>
      <c r="AF504" s="34"/>
      <c r="AG504" s="33"/>
    </row>
    <row r="505" spans="2:33">
      <c r="B505" s="6" t="s">
        <v>180</v>
      </c>
      <c r="I505" s="8">
        <v>2019</v>
      </c>
      <c r="J505" s="8"/>
      <c r="K505" s="8">
        <v>2020</v>
      </c>
      <c r="L505" s="8"/>
      <c r="M505" s="8">
        <v>2021</v>
      </c>
      <c r="N505" s="8"/>
      <c r="O505" s="8">
        <v>2022</v>
      </c>
      <c r="P505" s="8"/>
      <c r="Q505" s="8">
        <v>2023</v>
      </c>
      <c r="S505" s="6" t="s">
        <v>201</v>
      </c>
      <c r="Y505" s="10">
        <v>43465</v>
      </c>
      <c r="Z505" s="8"/>
      <c r="AA505" s="10">
        <v>43830</v>
      </c>
      <c r="AB505" s="8"/>
      <c r="AC505" s="10">
        <v>44196</v>
      </c>
      <c r="AD505" s="8"/>
      <c r="AE505" s="10">
        <v>44561</v>
      </c>
      <c r="AF505" s="8"/>
      <c r="AG505" s="10">
        <v>44926</v>
      </c>
    </row>
    <row r="507" spans="2:33">
      <c r="C507" t="s">
        <v>86</v>
      </c>
      <c r="I507" s="7">
        <v>652800</v>
      </c>
      <c r="K507" s="7">
        <v>694579.20000000007</v>
      </c>
      <c r="M507" s="7">
        <v>739032.26880000008</v>
      </c>
      <c r="O507" s="7">
        <v>786330.33400320017</v>
      </c>
      <c r="Q507" s="7">
        <v>836655.47537940508</v>
      </c>
      <c r="T507" t="s">
        <v>281</v>
      </c>
      <c r="Y507" s="7">
        <v>1623068.442</v>
      </c>
      <c r="AA507" s="7">
        <v>2277830.8645666665</v>
      </c>
      <c r="AC507" s="7">
        <v>3031306.2204623334</v>
      </c>
      <c r="AE507" s="7">
        <v>3849426.8093053368</v>
      </c>
      <c r="AG507" s="7">
        <v>4765488.3600545293</v>
      </c>
    </row>
    <row r="508" spans="2:33">
      <c r="C508" t="s">
        <v>181</v>
      </c>
      <c r="I508" s="7">
        <v>0</v>
      </c>
      <c r="K508" s="7">
        <v>0</v>
      </c>
      <c r="M508" s="7">
        <v>0</v>
      </c>
      <c r="O508" s="7">
        <v>0</v>
      </c>
      <c r="Q508" s="7">
        <v>0</v>
      </c>
      <c r="T508" t="s">
        <v>165</v>
      </c>
      <c r="Y508" s="7">
        <v>0</v>
      </c>
      <c r="AA508" s="7">
        <v>0</v>
      </c>
      <c r="AC508" s="7">
        <v>0</v>
      </c>
      <c r="AE508" s="7">
        <v>0</v>
      </c>
      <c r="AG508" s="7">
        <v>0</v>
      </c>
    </row>
    <row r="509" spans="2:33">
      <c r="C509" t="s">
        <v>110</v>
      </c>
      <c r="I509" s="7">
        <v>0</v>
      </c>
      <c r="K509" s="7">
        <v>0</v>
      </c>
      <c r="M509" s="7">
        <v>0</v>
      </c>
      <c r="O509" s="7">
        <v>0</v>
      </c>
      <c r="Q509" s="7">
        <v>0</v>
      </c>
      <c r="T509" t="s">
        <v>202</v>
      </c>
      <c r="Y509" s="7">
        <v>1725710</v>
      </c>
      <c r="AA509" s="7">
        <v>1725710</v>
      </c>
      <c r="AC509" s="7">
        <v>1725710</v>
      </c>
      <c r="AE509" s="7">
        <v>1725710</v>
      </c>
      <c r="AG509" s="7">
        <v>1725710</v>
      </c>
    </row>
    <row r="510" spans="2:33" ht="15" thickBot="1">
      <c r="C510" t="s">
        <v>125</v>
      </c>
      <c r="I510" s="54">
        <v>0</v>
      </c>
      <c r="K510" s="54">
        <v>0</v>
      </c>
      <c r="M510" s="54">
        <v>0</v>
      </c>
      <c r="O510" s="54">
        <v>0</v>
      </c>
      <c r="Q510" s="54">
        <v>0</v>
      </c>
      <c r="T510" t="s">
        <v>203</v>
      </c>
      <c r="Y510" s="54">
        <v>5000</v>
      </c>
      <c r="AA510" s="54">
        <v>5000</v>
      </c>
      <c r="AC510" s="54">
        <v>5000</v>
      </c>
      <c r="AE510" s="54">
        <v>5000</v>
      </c>
      <c r="AG510" s="54">
        <v>5000</v>
      </c>
    </row>
    <row r="511" spans="2:33" ht="15" thickTop="1"/>
    <row r="512" spans="2:33">
      <c r="C512" t="s">
        <v>182</v>
      </c>
      <c r="I512" s="7">
        <v>652800</v>
      </c>
      <c r="K512" s="7">
        <v>694579.20000000007</v>
      </c>
      <c r="M512" s="7">
        <v>739032.26880000008</v>
      </c>
      <c r="O512" s="7">
        <v>786330.33400320017</v>
      </c>
      <c r="Q512" s="7">
        <v>836655.47537940508</v>
      </c>
      <c r="T512" t="s">
        <v>166</v>
      </c>
      <c r="Y512" s="7">
        <v>3353778.4419999998</v>
      </c>
      <c r="AA512" s="7">
        <v>4008540.8645666665</v>
      </c>
      <c r="AC512" s="7">
        <v>4762016.2204623334</v>
      </c>
      <c r="AE512" s="7">
        <v>5580136.8093053363</v>
      </c>
      <c r="AG512" s="7">
        <v>6496198.3600545293</v>
      </c>
    </row>
    <row r="514" spans="2:33">
      <c r="B514" s="6" t="s">
        <v>183</v>
      </c>
      <c r="S514" s="6" t="s">
        <v>204</v>
      </c>
    </row>
    <row r="516" spans="2:33">
      <c r="C516" t="s">
        <v>184</v>
      </c>
      <c r="I516" s="7">
        <v>133896.76799999998</v>
      </c>
      <c r="K516" s="7">
        <v>136524.45733333332</v>
      </c>
      <c r="M516" s="7">
        <v>113030.77666666666</v>
      </c>
      <c r="O516" s="7">
        <v>131326.28133333332</v>
      </c>
      <c r="Q516" s="7">
        <v>122524.46199999998</v>
      </c>
      <c r="T516" t="s">
        <v>205</v>
      </c>
      <c r="Y516" s="7">
        <v>284530.63199999998</v>
      </c>
      <c r="AA516" s="7">
        <v>234672.84133333329</v>
      </c>
      <c r="AC516" s="7">
        <v>208308.73133333324</v>
      </c>
      <c r="AE516" s="7">
        <v>245576.84999999989</v>
      </c>
      <c r="AG516" s="7">
        <v>209719.05466666655</v>
      </c>
    </row>
    <row r="517" spans="2:33" ht="15" thickBot="1">
      <c r="C517" t="s">
        <v>185</v>
      </c>
      <c r="I517" s="54">
        <v>34697.631999999983</v>
      </c>
      <c r="K517" s="54">
        <v>-49857.790666666697</v>
      </c>
      <c r="M517" s="54">
        <v>-26364.110000000044</v>
      </c>
      <c r="O517" s="54">
        <v>37268.118666666647</v>
      </c>
      <c r="Q517" s="54">
        <v>-35857.795333333343</v>
      </c>
      <c r="T517" t="s">
        <v>206</v>
      </c>
      <c r="Y517" s="54">
        <v>420078</v>
      </c>
      <c r="AA517" s="54">
        <v>420078</v>
      </c>
      <c r="AC517" s="54">
        <v>420078</v>
      </c>
      <c r="AE517" s="54">
        <v>420078</v>
      </c>
      <c r="AG517" s="54">
        <v>420078</v>
      </c>
    </row>
    <row r="518" spans="2:33" ht="15" thickTop="1"/>
    <row r="519" spans="2:33">
      <c r="C519" t="s">
        <v>186</v>
      </c>
      <c r="I519" s="7">
        <v>168594.39999999997</v>
      </c>
      <c r="K519" s="7">
        <v>86666.666666666628</v>
      </c>
      <c r="M519" s="7">
        <v>86666.666666666613</v>
      </c>
      <c r="O519" s="7">
        <v>168594.39999999997</v>
      </c>
      <c r="Q519" s="7">
        <v>86666.666666666642</v>
      </c>
      <c r="T519" t="s">
        <v>167</v>
      </c>
      <c r="Y519" s="7">
        <v>704608.63199999998</v>
      </c>
      <c r="AA519" s="7">
        <v>654750.84133333329</v>
      </c>
      <c r="AC519" s="7">
        <v>628386.7313333333</v>
      </c>
      <c r="AE519" s="7">
        <v>665654.84999999986</v>
      </c>
      <c r="AG519" s="7">
        <v>629797.05466666655</v>
      </c>
    </row>
    <row r="521" spans="2:33">
      <c r="C521" t="s">
        <v>164</v>
      </c>
      <c r="I521" s="7">
        <v>484205.60000000003</v>
      </c>
      <c r="K521" s="7">
        <v>607912.53333333344</v>
      </c>
      <c r="M521" s="7">
        <v>652365.60213333345</v>
      </c>
      <c r="O521" s="7">
        <v>617735.93400320015</v>
      </c>
      <c r="Q521" s="7">
        <v>749988.80871273845</v>
      </c>
      <c r="S521" s="6" t="s">
        <v>169</v>
      </c>
      <c r="Y521" s="7">
        <v>2649169.8099999996</v>
      </c>
      <c r="AA521" s="7">
        <v>3353790.0232333331</v>
      </c>
      <c r="AC521" s="7">
        <v>4133629.4891290003</v>
      </c>
      <c r="AE521" s="7">
        <v>4914481.9593053367</v>
      </c>
      <c r="AG521" s="7">
        <v>5866401.305387863</v>
      </c>
    </row>
    <row r="522" spans="2:33">
      <c r="S522" s="6"/>
    </row>
    <row r="523" spans="2:33" ht="6.75" customHeight="1">
      <c r="S523" s="32"/>
      <c r="T523" s="32"/>
      <c r="U523" s="32"/>
      <c r="V523" s="32"/>
      <c r="W523" s="32"/>
      <c r="X523" s="32"/>
      <c r="Y523" s="25"/>
      <c r="Z523" s="32"/>
      <c r="AA523" s="25"/>
      <c r="AB523" s="32"/>
      <c r="AC523" s="25"/>
      <c r="AD523" s="32"/>
      <c r="AE523" s="25"/>
      <c r="AF523" s="32"/>
      <c r="AG523" s="25"/>
    </row>
    <row r="524" spans="2:33" ht="26">
      <c r="C524" t="s">
        <v>163</v>
      </c>
      <c r="S524" s="23" t="s">
        <v>53</v>
      </c>
      <c r="X524" s="5"/>
      <c r="Y524"/>
      <c r="AA524"/>
      <c r="AC524"/>
      <c r="AE524" t="s">
        <v>284</v>
      </c>
      <c r="AG524" t="s">
        <v>292</v>
      </c>
    </row>
    <row r="525" spans="2:33" ht="15.75" customHeight="1">
      <c r="D525" t="s">
        <v>187</v>
      </c>
      <c r="I525" s="7">
        <v>63816.740000000005</v>
      </c>
      <c r="K525" s="7">
        <v>65731.242200000008</v>
      </c>
      <c r="M525" s="7">
        <v>67703.179466000016</v>
      </c>
      <c r="O525" s="7">
        <v>69734.274849980022</v>
      </c>
      <c r="Q525" s="7">
        <v>71826.303095479423</v>
      </c>
      <c r="S525" s="5"/>
    </row>
    <row r="526" spans="2:33" ht="15" thickBot="1">
      <c r="D526" t="s">
        <v>188</v>
      </c>
      <c r="I526" s="7">
        <v>0</v>
      </c>
      <c r="K526" s="7">
        <v>0</v>
      </c>
      <c r="M526" s="7">
        <v>0</v>
      </c>
      <c r="O526" s="7">
        <v>0</v>
      </c>
      <c r="Q526" s="7">
        <v>0</v>
      </c>
      <c r="Y526" s="33"/>
      <c r="Z526" s="34"/>
      <c r="AA526" s="33"/>
      <c r="AB526" s="34"/>
      <c r="AC526" s="35" t="s">
        <v>59</v>
      </c>
      <c r="AD526" s="34"/>
      <c r="AE526" s="33"/>
      <c r="AF526" s="34"/>
      <c r="AG526" s="33"/>
    </row>
    <row r="527" spans="2:33">
      <c r="D527" t="s">
        <v>189</v>
      </c>
      <c r="I527" s="7">
        <v>0</v>
      </c>
      <c r="K527" s="7">
        <v>0</v>
      </c>
      <c r="M527" s="7">
        <v>0</v>
      </c>
      <c r="O527" s="7">
        <v>0</v>
      </c>
      <c r="Q527" s="7">
        <v>0</v>
      </c>
      <c r="S527" s="22" t="s">
        <v>74</v>
      </c>
      <c r="Y527" s="10">
        <v>43465</v>
      </c>
      <c r="Z527" s="8"/>
      <c r="AA527" s="10">
        <v>43830</v>
      </c>
      <c r="AB527" s="8"/>
      <c r="AC527" s="10">
        <v>44196</v>
      </c>
      <c r="AD527" s="8"/>
      <c r="AE527" s="10">
        <v>44561</v>
      </c>
      <c r="AF527" s="8"/>
      <c r="AG527" s="10">
        <v>44926</v>
      </c>
    </row>
    <row r="528" spans="2:33">
      <c r="D528" t="s">
        <v>190</v>
      </c>
      <c r="I528" s="7">
        <v>0</v>
      </c>
      <c r="K528" s="7">
        <v>0</v>
      </c>
      <c r="M528" s="7">
        <v>0</v>
      </c>
      <c r="O528" s="7">
        <v>0</v>
      </c>
      <c r="Q528" s="7">
        <v>0</v>
      </c>
      <c r="Y528"/>
      <c r="AA528"/>
      <c r="AC528"/>
      <c r="AE528"/>
      <c r="AG528"/>
    </row>
    <row r="529" spans="2:33">
      <c r="D529" t="s">
        <v>111</v>
      </c>
      <c r="I529" s="7">
        <v>5000</v>
      </c>
      <c r="K529" s="7">
        <v>5000</v>
      </c>
      <c r="M529" s="7">
        <v>5000</v>
      </c>
      <c r="O529" s="7">
        <v>5000</v>
      </c>
      <c r="Q529" s="7">
        <v>5000</v>
      </c>
      <c r="S529" t="s">
        <v>115</v>
      </c>
      <c r="Y529" s="94">
        <v>0.24641681991687808</v>
      </c>
      <c r="AA529" s="94">
        <v>0.20710276886397552</v>
      </c>
      <c r="AC529" s="94">
        <v>0.17878531947373977</v>
      </c>
      <c r="AE529" s="94">
        <v>0.1600026901135167</v>
      </c>
      <c r="AG529" s="94">
        <v>0.14261817966851295</v>
      </c>
    </row>
    <row r="530" spans="2:33" ht="15" thickBot="1">
      <c r="D530" t="s">
        <v>191</v>
      </c>
      <c r="I530" s="54">
        <v>0</v>
      </c>
      <c r="K530" s="54">
        <v>0</v>
      </c>
      <c r="M530" s="54">
        <v>0</v>
      </c>
      <c r="O530" s="54">
        <v>0</v>
      </c>
      <c r="Q530" s="54">
        <v>0</v>
      </c>
      <c r="S530" t="s">
        <v>116</v>
      </c>
      <c r="Y530" s="94">
        <v>0.24641681991687808</v>
      </c>
      <c r="AA530" s="94">
        <v>0.20710276886397552</v>
      </c>
      <c r="AC530" s="94">
        <v>0.17878531947373977</v>
      </c>
      <c r="AE530" s="94">
        <v>0.1600026901135167</v>
      </c>
      <c r="AG530" s="94">
        <v>0.14261817966851295</v>
      </c>
    </row>
    <row r="531" spans="2:33" ht="15" thickTop="1">
      <c r="S531" t="s">
        <v>242</v>
      </c>
      <c r="Y531" s="94">
        <v>3.7747674619619802E-2</v>
      </c>
      <c r="AA531" s="94">
        <v>2.9817012784715623E-2</v>
      </c>
      <c r="AC531" s="94">
        <v>2.4191815029138246E-2</v>
      </c>
      <c r="AE531" s="94">
        <v>2.034802463984119E-2</v>
      </c>
      <c r="AG531" s="94">
        <v>1.7046225580946411E-2</v>
      </c>
    </row>
    <row r="532" spans="2:33">
      <c r="D532" t="s">
        <v>192</v>
      </c>
      <c r="I532" s="7">
        <v>68816.740000000005</v>
      </c>
      <c r="K532" s="7">
        <v>70731.242200000008</v>
      </c>
      <c r="M532" s="7">
        <v>72703.179466000016</v>
      </c>
      <c r="O532" s="7">
        <v>74734.274849980022</v>
      </c>
      <c r="Q532" s="7">
        <v>76826.303095479423</v>
      </c>
      <c r="S532" t="s">
        <v>48</v>
      </c>
      <c r="Y532" s="94">
        <v>8.2496070119512543E-2</v>
      </c>
      <c r="AA532" s="94">
        <v>5.9936169738092328E-2</v>
      </c>
      <c r="AC532" s="94">
        <v>3.7287812067177843E-2</v>
      </c>
      <c r="AE532" s="94">
        <v>3.4115801608663995E-2</v>
      </c>
      <c r="AG532" s="94">
        <v>2.5710788222048662E-2</v>
      </c>
    </row>
    <row r="533" spans="2:33">
      <c r="S533" t="s">
        <v>207</v>
      </c>
      <c r="Y533" s="97">
        <v>7465</v>
      </c>
      <c r="AA533" s="7">
        <v>41779.20000000007</v>
      </c>
      <c r="AC533" s="7">
        <v>44453.068800000008</v>
      </c>
      <c r="AE533" s="7">
        <v>47298.065203200094</v>
      </c>
      <c r="AG533" s="7">
        <v>50325.141376204905</v>
      </c>
    </row>
    <row r="534" spans="2:33">
      <c r="C534" t="s">
        <v>193</v>
      </c>
      <c r="I534" s="7">
        <v>415388.86000000004</v>
      </c>
      <c r="K534" s="7">
        <v>537181.29113333346</v>
      </c>
      <c r="M534" s="7">
        <v>579662.42266733339</v>
      </c>
      <c r="O534" s="7">
        <v>543001.65915322013</v>
      </c>
      <c r="Q534" s="7">
        <v>673162.50561725907</v>
      </c>
      <c r="S534" t="s">
        <v>118</v>
      </c>
      <c r="Y534" s="97">
        <v>553421.80999999959</v>
      </c>
      <c r="AA534" s="7">
        <v>704620.21323333355</v>
      </c>
      <c r="AC534" s="7">
        <v>779839.46589566721</v>
      </c>
      <c r="AE534" s="7">
        <v>780852.47017633636</v>
      </c>
      <c r="AG534" s="7">
        <v>951919.34608252626</v>
      </c>
    </row>
    <row r="535" spans="2:33">
      <c r="S535" t="s">
        <v>119</v>
      </c>
      <c r="Y535" s="94">
        <v>1.3097549228073073E-2</v>
      </c>
      <c r="AA535" s="94">
        <v>-1.8820156593384516E-2</v>
      </c>
      <c r="AC535" s="94">
        <v>-7.860990049276503E-3</v>
      </c>
      <c r="AE535" s="94">
        <v>9.0158343326797383E-3</v>
      </c>
      <c r="AG535" s="94">
        <v>-7.2963530297304926E-3</v>
      </c>
    </row>
    <row r="536" spans="2:33">
      <c r="B536" s="6" t="s">
        <v>168</v>
      </c>
      <c r="S536" t="s">
        <v>280</v>
      </c>
      <c r="Y536" s="94">
        <v>5.2104228833862495E-2</v>
      </c>
      <c r="AA536" s="94">
        <v>4.9925284809147034E-2</v>
      </c>
      <c r="AC536" s="94">
        <v>4.8426460028596512E-2</v>
      </c>
      <c r="AE536" s="94">
        <v>4.8397941633045893E-2</v>
      </c>
      <c r="AG536" s="94">
        <v>4.7517519848028288E-2</v>
      </c>
    </row>
    <row r="537" spans="2:33">
      <c r="S537" t="s">
        <v>124</v>
      </c>
      <c r="Y537" s="94">
        <v>0</v>
      </c>
      <c r="AA537" s="94">
        <v>0</v>
      </c>
      <c r="AC537" s="94">
        <v>0</v>
      </c>
      <c r="AE537" s="94">
        <v>0</v>
      </c>
      <c r="AG537" s="94">
        <v>0</v>
      </c>
    </row>
    <row r="538" spans="2:33">
      <c r="C538" t="s">
        <v>279</v>
      </c>
      <c r="I538" s="7">
        <v>138032.95000000001</v>
      </c>
      <c r="K538" s="7">
        <v>167438.9221</v>
      </c>
      <c r="M538" s="7">
        <v>200177.04322833335</v>
      </c>
      <c r="O538" s="7">
        <v>237850.81102311669</v>
      </c>
      <c r="Q538" s="7">
        <v>278756.84046526684</v>
      </c>
      <c r="S538" t="s">
        <v>127</v>
      </c>
      <c r="Y538" s="94">
        <v>1.3097549228073073E-2</v>
      </c>
      <c r="AA538" s="94">
        <v>-1.8820156593384516E-2</v>
      </c>
      <c r="AC538" s="94">
        <v>-7.860990049276503E-3</v>
      </c>
      <c r="AE538" s="94">
        <v>9.0158343326797383E-3</v>
      </c>
      <c r="AG538" s="94">
        <v>-7.2963530297304926E-3</v>
      </c>
    </row>
    <row r="539" spans="2:33" ht="15" thickBot="1">
      <c r="C539" t="s">
        <v>194</v>
      </c>
      <c r="I539" s="54">
        <v>0</v>
      </c>
      <c r="K539" s="54">
        <v>0</v>
      </c>
      <c r="M539" s="54">
        <v>0</v>
      </c>
      <c r="O539" s="54">
        <v>0</v>
      </c>
      <c r="Q539" s="54">
        <v>0</v>
      </c>
      <c r="S539" t="s">
        <v>128</v>
      </c>
      <c r="Y539" s="94">
        <v>0.43412133078735565</v>
      </c>
      <c r="AA539" s="94">
        <v>0.28744488957387659</v>
      </c>
      <c r="AC539" s="94">
        <v>0.20729899443728653</v>
      </c>
      <c r="AE539" s="94">
        <v>0.17292310854979553</v>
      </c>
      <c r="AG539" s="94">
        <v>0.13215792529172396</v>
      </c>
    </row>
    <row r="540" spans="2:33" ht="15" thickTop="1">
      <c r="S540" t="s">
        <v>73</v>
      </c>
      <c r="Y540" s="94">
        <v>0.2582634803921568</v>
      </c>
      <c r="AA540" s="94">
        <v>0.12477578750798558</v>
      </c>
      <c r="AC540" s="94">
        <v>0.11727047698118943</v>
      </c>
      <c r="AE540" s="94">
        <v>0.21440658297090931</v>
      </c>
      <c r="AG540" s="94">
        <v>0.10358704295500509</v>
      </c>
    </row>
    <row r="541" spans="2:33">
      <c r="C541" t="s">
        <v>195</v>
      </c>
      <c r="I541" s="7">
        <v>138032.95000000001</v>
      </c>
      <c r="K541" s="7">
        <v>167438.9221</v>
      </c>
      <c r="M541" s="7">
        <v>200177.04322833335</v>
      </c>
      <c r="O541" s="7">
        <v>237850.81102311669</v>
      </c>
      <c r="Q541" s="7">
        <v>278756.84046526684</v>
      </c>
      <c r="S541" t="s">
        <v>132</v>
      </c>
      <c r="Y541" s="94">
        <v>0.10541780024509805</v>
      </c>
      <c r="AA541" s="94">
        <v>0.1018332282337277</v>
      </c>
      <c r="AC541" s="94">
        <v>9.8376190777232822E-2</v>
      </c>
      <c r="AE541" s="94">
        <v>9.5041831172286775E-2</v>
      </c>
      <c r="AG541" s="94">
        <v>9.1825494909526961E-2</v>
      </c>
    </row>
    <row r="542" spans="2:33">
      <c r="S542" t="s">
        <v>134</v>
      </c>
      <c r="Y542" s="94">
        <v>0</v>
      </c>
      <c r="AA542" s="94">
        <v>0</v>
      </c>
      <c r="AC542" s="94">
        <v>0</v>
      </c>
      <c r="AE542" s="94">
        <v>0</v>
      </c>
      <c r="AG542" s="94">
        <v>0</v>
      </c>
    </row>
    <row r="543" spans="2:33">
      <c r="B543" s="6" t="s">
        <v>112</v>
      </c>
      <c r="I543" s="7">
        <v>553421.81000000006</v>
      </c>
      <c r="K543" s="7">
        <v>704620.21323333343</v>
      </c>
      <c r="M543" s="7">
        <v>779839.46589566674</v>
      </c>
      <c r="O543" s="7">
        <v>780852.47017633682</v>
      </c>
      <c r="Q543" s="7">
        <v>951919.34608252591</v>
      </c>
      <c r="S543" t="s">
        <v>135</v>
      </c>
      <c r="Y543" s="94">
        <v>0.46909908088235291</v>
      </c>
      <c r="AA543" s="94">
        <v>0.32844224397544097</v>
      </c>
      <c r="AC543" s="94">
        <v>0.31402285853565509</v>
      </c>
      <c r="AE543" s="94">
        <v>0.40449024531548283</v>
      </c>
      <c r="AG543" s="94">
        <v>0.28723803277405902</v>
      </c>
    </row>
    <row r="544" spans="2:33">
      <c r="B544" s="6"/>
      <c r="S544" t="s">
        <v>47</v>
      </c>
      <c r="Y544" s="94">
        <v>0.21144753370098041</v>
      </c>
      <c r="AA544" s="94">
        <v>0.24106526959056646</v>
      </c>
      <c r="AC544" s="94">
        <v>0.27086373853927898</v>
      </c>
      <c r="AE544" s="94">
        <v>0.30248204951247459</v>
      </c>
      <c r="AG544" s="94">
        <v>0.33317996316088971</v>
      </c>
    </row>
    <row r="545" spans="2:33">
      <c r="B545" s="6" t="s">
        <v>196</v>
      </c>
      <c r="I545" s="7">
        <v>0</v>
      </c>
      <c r="K545" s="7">
        <v>0</v>
      </c>
      <c r="M545" s="7">
        <v>0</v>
      </c>
      <c r="O545" s="7">
        <v>0</v>
      </c>
      <c r="Q545" s="7">
        <v>0</v>
      </c>
      <c r="S545" t="s">
        <v>114</v>
      </c>
      <c r="Y545" s="94">
        <v>0.25765154718137251</v>
      </c>
      <c r="AA545" s="94">
        <v>8.7376974384874517E-2</v>
      </c>
      <c r="AC545" s="94">
        <v>4.3159119996376116E-2</v>
      </c>
      <c r="AE545" s="94">
        <v>0.10200819580300824</v>
      </c>
      <c r="AG545" s="94">
        <v>-4.5941930386830698E-2</v>
      </c>
    </row>
    <row r="546" spans="2:33">
      <c r="B546" s="6"/>
      <c r="S546" t="s">
        <v>38</v>
      </c>
      <c r="Y546" s="94">
        <v>4.7597748447680104</v>
      </c>
      <c r="AA546" s="94">
        <v>6.1222385852970911</v>
      </c>
      <c r="AC546" s="94">
        <v>7.5781616367966871</v>
      </c>
      <c r="AE546" s="94">
        <v>8.3829281936507147</v>
      </c>
      <c r="AG546" s="94">
        <v>10.314748714556597</v>
      </c>
    </row>
    <row r="547" spans="2:33">
      <c r="B547" s="6" t="s">
        <v>113</v>
      </c>
      <c r="I547" s="7">
        <v>0</v>
      </c>
      <c r="K547" s="7">
        <v>0</v>
      </c>
      <c r="M547" s="7">
        <v>0</v>
      </c>
      <c r="O547" s="7">
        <v>0</v>
      </c>
      <c r="Q547" s="7">
        <v>0</v>
      </c>
      <c r="S547" t="s">
        <v>39</v>
      </c>
      <c r="Y547" s="7">
        <v>450086.49200000003</v>
      </c>
      <c r="AA547" s="7">
        <v>487323.50046666677</v>
      </c>
      <c r="AC547" s="7">
        <v>553298.3126673334</v>
      </c>
      <c r="AE547" s="7">
        <v>580269.7778198868</v>
      </c>
      <c r="AG547" s="7">
        <v>637304.71028392576</v>
      </c>
    </row>
    <row r="548" spans="2:33">
      <c r="B548" s="6"/>
      <c r="S548" t="s">
        <v>44</v>
      </c>
      <c r="Y548" s="7">
        <v>450086.49200000003</v>
      </c>
      <c r="AA548" s="7">
        <v>487323.50046666677</v>
      </c>
      <c r="AC548" s="7">
        <v>553298.3126673334</v>
      </c>
      <c r="AE548" s="7">
        <v>580269.7778198868</v>
      </c>
      <c r="AG548" s="7">
        <v>637304.71028392576</v>
      </c>
    </row>
    <row r="549" spans="2:33">
      <c r="B549" s="6" t="s">
        <v>162</v>
      </c>
      <c r="I549" s="7">
        <v>553421.81000000006</v>
      </c>
      <c r="K549" s="7">
        <v>704620.21323333343</v>
      </c>
      <c r="M549" s="7">
        <v>779839.46589566674</v>
      </c>
      <c r="O549" s="7">
        <v>780852.47017633682</v>
      </c>
      <c r="Q549" s="7">
        <v>951919.34608252591</v>
      </c>
      <c r="S549" t="s">
        <v>51</v>
      </c>
      <c r="Y549" s="94">
        <v>0.84776625306372555</v>
      </c>
      <c r="AA549" s="94">
        <v>1.0144562538488531</v>
      </c>
      <c r="AC549" s="94">
        <v>1.0552170707808566</v>
      </c>
      <c r="AE549" s="94">
        <v>0.99303363536927847</v>
      </c>
      <c r="AG549" s="94">
        <v>1.1377674252963577</v>
      </c>
    </row>
    <row r="551" spans="2:33" ht="6.75" customHeight="1">
      <c r="B551" s="32"/>
      <c r="C551" s="32"/>
      <c r="D551" s="32"/>
      <c r="E551" s="32"/>
      <c r="F551" s="32"/>
      <c r="G551" s="32"/>
      <c r="H551" s="32"/>
      <c r="I551" s="25"/>
      <c r="J551" s="32"/>
      <c r="K551" s="25"/>
      <c r="L551" s="32"/>
      <c r="M551" s="25"/>
      <c r="N551" s="32"/>
      <c r="O551" s="25"/>
      <c r="P551" s="32"/>
      <c r="Q551" s="25"/>
      <c r="S551" s="32"/>
      <c r="T551" s="32"/>
      <c r="U551" s="32"/>
      <c r="V551" s="32"/>
      <c r="W551" s="32"/>
      <c r="X551" s="32"/>
      <c r="Y551" s="25"/>
      <c r="Z551" s="32"/>
      <c r="AA551" s="25"/>
      <c r="AB551" s="32"/>
      <c r="AC551" s="25"/>
      <c r="AD551" s="32"/>
      <c r="AE551" s="25"/>
      <c r="AF551" s="32"/>
      <c r="AG551" s="25"/>
    </row>
    <row r="554" spans="2:33" ht="26">
      <c r="B554" s="5" t="s">
        <v>198</v>
      </c>
      <c r="S554" s="5">
        <v>0</v>
      </c>
    </row>
    <row r="556" spans="2:33" ht="26">
      <c r="B556" s="5" t="s">
        <v>179</v>
      </c>
      <c r="O556" s="7" t="s">
        <v>284</v>
      </c>
      <c r="Q556" s="7" t="s">
        <v>294</v>
      </c>
      <c r="S556" s="5" t="s">
        <v>200</v>
      </c>
      <c r="AE556" s="7" t="s">
        <v>284</v>
      </c>
      <c r="AG556" s="7" t="s">
        <v>294</v>
      </c>
    </row>
    <row r="557" spans="2:33" ht="6.75" customHeight="1">
      <c r="B557" s="43"/>
      <c r="C557" s="32"/>
      <c r="D557" s="32"/>
      <c r="E557" s="32"/>
      <c r="F557" s="32"/>
      <c r="G557" s="32"/>
      <c r="H557" s="32"/>
      <c r="I557" s="25"/>
      <c r="J557" s="32"/>
      <c r="K557" s="25"/>
      <c r="L557" s="32"/>
      <c r="M557" s="25"/>
      <c r="N557" s="32"/>
      <c r="O557" s="25"/>
      <c r="P557" s="32"/>
      <c r="Q557" s="25"/>
      <c r="S557" s="43"/>
      <c r="T557" s="32"/>
      <c r="U557" s="32"/>
      <c r="V557" s="32"/>
      <c r="W557" s="32"/>
      <c r="X557" s="32"/>
      <c r="Y557" s="25"/>
      <c r="Z557" s="32"/>
      <c r="AA557" s="25"/>
      <c r="AB557" s="32"/>
      <c r="AC557" s="25"/>
      <c r="AD557" s="32"/>
      <c r="AE557" s="25"/>
      <c r="AF557" s="32"/>
      <c r="AG557" s="25"/>
    </row>
    <row r="558" spans="2:33" ht="17.25" customHeight="1">
      <c r="B558" s="5"/>
      <c r="S558" s="5"/>
    </row>
    <row r="559" spans="2:33" ht="15" thickBot="1">
      <c r="I559" s="33"/>
      <c r="J559" s="34"/>
      <c r="K559" s="33"/>
      <c r="L559" s="34"/>
      <c r="M559" s="35" t="s">
        <v>58</v>
      </c>
      <c r="N559" s="34"/>
      <c r="O559" s="33"/>
      <c r="P559" s="34"/>
      <c r="Q559" s="33"/>
      <c r="Y559" s="33"/>
      <c r="Z559" s="34"/>
      <c r="AA559" s="33"/>
      <c r="AB559" s="34"/>
      <c r="AC559" s="35" t="s">
        <v>59</v>
      </c>
      <c r="AD559" s="34"/>
      <c r="AE559" s="33"/>
      <c r="AF559" s="34"/>
      <c r="AG559" s="33"/>
    </row>
    <row r="560" spans="2:33">
      <c r="B560" s="6" t="s">
        <v>180</v>
      </c>
      <c r="I560" s="8">
        <v>2019</v>
      </c>
      <c r="J560" s="8"/>
      <c r="K560" s="8">
        <v>2020</v>
      </c>
      <c r="L560" s="8"/>
      <c r="M560" s="8">
        <v>2021</v>
      </c>
      <c r="N560" s="8"/>
      <c r="O560" s="8">
        <v>2022</v>
      </c>
      <c r="P560" s="8"/>
      <c r="Q560" s="8">
        <v>2023</v>
      </c>
      <c r="S560" s="6" t="s">
        <v>201</v>
      </c>
      <c r="Y560" s="10">
        <v>43465</v>
      </c>
      <c r="Z560" s="8"/>
      <c r="AA560" s="10">
        <v>43830</v>
      </c>
      <c r="AB560" s="8"/>
      <c r="AC560" s="10">
        <v>44196</v>
      </c>
      <c r="AD560" s="8"/>
      <c r="AE560" s="10">
        <v>44561</v>
      </c>
      <c r="AF560" s="8"/>
      <c r="AG560" s="10">
        <v>44926</v>
      </c>
    </row>
    <row r="562" spans="2:33">
      <c r="C562" t="s">
        <v>86</v>
      </c>
      <c r="I562" s="7">
        <v>652800</v>
      </c>
      <c r="K562" s="7">
        <v>694579.20000000007</v>
      </c>
      <c r="M562" s="7">
        <v>739032.26880000008</v>
      </c>
      <c r="O562" s="7">
        <v>786330.33400320017</v>
      </c>
      <c r="Q562" s="7">
        <v>836655.47537940508</v>
      </c>
      <c r="T562" t="s">
        <v>281</v>
      </c>
      <c r="Y562" s="7">
        <v>1638191.9833333334</v>
      </c>
      <c r="AA562" s="7">
        <v>2294905.1269666664</v>
      </c>
      <c r="AC562" s="7">
        <v>3036216.6893156664</v>
      </c>
      <c r="AE562" s="7">
        <v>3860219.1162680034</v>
      </c>
      <c r="AG562" s="7">
        <v>4772656.4343653293</v>
      </c>
    </row>
    <row r="563" spans="2:33">
      <c r="C563" t="s">
        <v>181</v>
      </c>
      <c r="I563" s="7">
        <v>0</v>
      </c>
      <c r="K563" s="7">
        <v>0</v>
      </c>
      <c r="M563" s="7">
        <v>0</v>
      </c>
      <c r="O563" s="7">
        <v>0</v>
      </c>
      <c r="Q563" s="7">
        <v>0</v>
      </c>
      <c r="T563" t="s">
        <v>165</v>
      </c>
      <c r="Y563" s="7">
        <v>0</v>
      </c>
      <c r="AA563" s="7">
        <v>0</v>
      </c>
      <c r="AC563" s="7">
        <v>0</v>
      </c>
      <c r="AE563" s="7">
        <v>0</v>
      </c>
      <c r="AG563" s="7">
        <v>0</v>
      </c>
    </row>
    <row r="564" spans="2:33">
      <c r="C564" t="s">
        <v>110</v>
      </c>
      <c r="I564" s="7">
        <v>0</v>
      </c>
      <c r="K564" s="7">
        <v>0</v>
      </c>
      <c r="M564" s="7">
        <v>0</v>
      </c>
      <c r="O564" s="7">
        <v>0</v>
      </c>
      <c r="Q564" s="7">
        <v>0</v>
      </c>
      <c r="T564" t="s">
        <v>202</v>
      </c>
      <c r="Y564" s="7">
        <v>1725710</v>
      </c>
      <c r="AA564" s="7">
        <v>1725710</v>
      </c>
      <c r="AC564" s="7">
        <v>1725710</v>
      </c>
      <c r="AE564" s="7">
        <v>1725710</v>
      </c>
      <c r="AG564" s="7">
        <v>1725710</v>
      </c>
    </row>
    <row r="565" spans="2:33" ht="15" thickBot="1">
      <c r="C565" t="s">
        <v>125</v>
      </c>
      <c r="I565" s="54">
        <v>0</v>
      </c>
      <c r="K565" s="54">
        <v>0</v>
      </c>
      <c r="M565" s="54">
        <v>0</v>
      </c>
      <c r="O565" s="54">
        <v>0</v>
      </c>
      <c r="Q565" s="54">
        <v>0</v>
      </c>
      <c r="T565" t="s">
        <v>203</v>
      </c>
      <c r="Y565" s="54">
        <v>5000</v>
      </c>
      <c r="AA565" s="54">
        <v>5000</v>
      </c>
      <c r="AC565" s="54">
        <v>5000</v>
      </c>
      <c r="AE565" s="54">
        <v>5000</v>
      </c>
      <c r="AG565" s="54">
        <v>5000</v>
      </c>
    </row>
    <row r="566" spans="2:33" ht="15" thickTop="1"/>
    <row r="567" spans="2:33">
      <c r="C567" t="s">
        <v>182</v>
      </c>
      <c r="I567" s="7">
        <v>652800</v>
      </c>
      <c r="K567" s="7">
        <v>694579.20000000007</v>
      </c>
      <c r="M567" s="7">
        <v>739032.26880000008</v>
      </c>
      <c r="O567" s="7">
        <v>786330.33400320017</v>
      </c>
      <c r="Q567" s="7">
        <v>836655.47537940508</v>
      </c>
      <c r="T567" t="s">
        <v>166</v>
      </c>
      <c r="Y567" s="7">
        <v>3368901.9833333334</v>
      </c>
      <c r="AA567" s="7">
        <v>4025615.1269666664</v>
      </c>
      <c r="AC567" s="7">
        <v>4766926.6893156664</v>
      </c>
      <c r="AE567" s="7">
        <v>5590929.1162680034</v>
      </c>
      <c r="AG567" s="7">
        <v>6503366.4343653293</v>
      </c>
    </row>
    <row r="569" spans="2:33">
      <c r="B569" s="6" t="s">
        <v>183</v>
      </c>
      <c r="S569" s="6" t="s">
        <v>204</v>
      </c>
    </row>
    <row r="571" spans="2:33">
      <c r="C571" t="s">
        <v>184</v>
      </c>
      <c r="I571" s="7">
        <v>118773.22666666667</v>
      </c>
      <c r="K571" s="7">
        <v>135329.91333333333</v>
      </c>
      <c r="M571" s="7">
        <v>126048.28333333333</v>
      </c>
      <c r="O571" s="7">
        <v>125689.96666666665</v>
      </c>
      <c r="Q571" s="7">
        <v>126688.31</v>
      </c>
      <c r="T571" t="s">
        <v>205</v>
      </c>
      <c r="Y571" s="7">
        <v>252393.10666666663</v>
      </c>
      <c r="AA571" s="7">
        <v>238396.52666666661</v>
      </c>
      <c r="AC571" s="7">
        <v>233681.5766666666</v>
      </c>
      <c r="AE571" s="7">
        <v>229324.94333333327</v>
      </c>
      <c r="AG571" s="7">
        <v>223969.96666666662</v>
      </c>
    </row>
    <row r="572" spans="2:33" ht="15" thickBot="1">
      <c r="C572" t="s">
        <v>185</v>
      </c>
      <c r="I572" s="54">
        <v>2560.1066666666302</v>
      </c>
      <c r="K572" s="54">
        <v>-13996.580000000016</v>
      </c>
      <c r="M572" s="54">
        <v>-4714.9500000000116</v>
      </c>
      <c r="O572" s="54">
        <v>-4356.6333333333314</v>
      </c>
      <c r="Q572" s="54">
        <v>-5354.9766666666546</v>
      </c>
      <c r="T572" t="s">
        <v>206</v>
      </c>
      <c r="Y572" s="54">
        <v>420078</v>
      </c>
      <c r="AA572" s="54">
        <v>420078</v>
      </c>
      <c r="AC572" s="54">
        <v>420078</v>
      </c>
      <c r="AE572" s="54">
        <v>420078</v>
      </c>
      <c r="AG572" s="54">
        <v>420078</v>
      </c>
    </row>
    <row r="573" spans="2:33" ht="15" thickTop="1"/>
    <row r="574" spans="2:33">
      <c r="C574" t="s">
        <v>186</v>
      </c>
      <c r="I574" s="7">
        <v>121333.3333333333</v>
      </c>
      <c r="K574" s="7">
        <v>121333.33333333331</v>
      </c>
      <c r="M574" s="7">
        <v>121333.33333333331</v>
      </c>
      <c r="O574" s="7">
        <v>121333.33333333331</v>
      </c>
      <c r="Q574" s="7">
        <v>121333.33333333334</v>
      </c>
      <c r="T574" t="s">
        <v>167</v>
      </c>
      <c r="Y574" s="7">
        <v>672471.10666666669</v>
      </c>
      <c r="AA574" s="7">
        <v>658474.52666666661</v>
      </c>
      <c r="AC574" s="7">
        <v>653759.57666666666</v>
      </c>
      <c r="AE574" s="7">
        <v>649402.94333333324</v>
      </c>
      <c r="AG574" s="7">
        <v>644047.96666666656</v>
      </c>
    </row>
    <row r="576" spans="2:33">
      <c r="C576" t="s">
        <v>164</v>
      </c>
      <c r="I576" s="7">
        <v>531466.66666666674</v>
      </c>
      <c r="K576" s="7">
        <v>573245.8666666667</v>
      </c>
      <c r="M576" s="7">
        <v>617698.93546666671</v>
      </c>
      <c r="O576" s="7">
        <v>664997.0006698668</v>
      </c>
      <c r="Q576" s="7">
        <v>715322.14204607171</v>
      </c>
      <c r="S576" s="6" t="s">
        <v>169</v>
      </c>
      <c r="Y576" s="7">
        <v>2696430.8766666669</v>
      </c>
      <c r="AA576" s="7">
        <v>3367140.6003</v>
      </c>
      <c r="AC576" s="7">
        <v>4113167.1126489998</v>
      </c>
      <c r="AE576" s="7">
        <v>4941526.17293467</v>
      </c>
      <c r="AG576" s="7">
        <v>5859318.4676986625</v>
      </c>
    </row>
    <row r="577" spans="2:33">
      <c r="S577" s="6"/>
    </row>
    <row r="578" spans="2:33" ht="6.75" customHeight="1">
      <c r="S578" s="32"/>
      <c r="T578" s="32"/>
      <c r="U578" s="32"/>
      <c r="V578" s="32"/>
      <c r="W578" s="32"/>
      <c r="X578" s="32"/>
      <c r="Y578" s="25"/>
      <c r="Z578" s="32"/>
      <c r="AA578" s="25"/>
      <c r="AB578" s="32"/>
      <c r="AC578" s="25"/>
      <c r="AD578" s="32"/>
      <c r="AE578" s="25"/>
      <c r="AF578" s="32"/>
      <c r="AG578" s="25"/>
    </row>
    <row r="579" spans="2:33" ht="26">
      <c r="C579" t="s">
        <v>163</v>
      </c>
      <c r="S579" s="23" t="s">
        <v>53</v>
      </c>
      <c r="X579" s="5"/>
      <c r="Y579"/>
      <c r="AA579"/>
      <c r="AC579"/>
      <c r="AE579" t="s">
        <v>284</v>
      </c>
      <c r="AG579" t="s">
        <v>294</v>
      </c>
    </row>
    <row r="580" spans="2:33" ht="15.75" customHeight="1">
      <c r="D580" t="s">
        <v>187</v>
      </c>
      <c r="I580" s="7">
        <v>63816.740000000005</v>
      </c>
      <c r="K580" s="7">
        <v>65731.242200000008</v>
      </c>
      <c r="M580" s="7">
        <v>67703.179466000016</v>
      </c>
      <c r="O580" s="7">
        <v>69734.274849980022</v>
      </c>
      <c r="Q580" s="7">
        <v>71826.303095479423</v>
      </c>
      <c r="S580" s="5"/>
    </row>
    <row r="581" spans="2:33" ht="15" thickBot="1">
      <c r="D581" t="s">
        <v>188</v>
      </c>
      <c r="I581" s="7">
        <v>0</v>
      </c>
      <c r="K581" s="7">
        <v>0</v>
      </c>
      <c r="M581" s="7">
        <v>0</v>
      </c>
      <c r="O581" s="7">
        <v>0</v>
      </c>
      <c r="Q581" s="7">
        <v>0</v>
      </c>
      <c r="Y581" s="33"/>
      <c r="Z581" s="34"/>
      <c r="AA581" s="33"/>
      <c r="AB581" s="34"/>
      <c r="AC581" s="35" t="s">
        <v>59</v>
      </c>
      <c r="AD581" s="34"/>
      <c r="AE581" s="33"/>
      <c r="AF581" s="34"/>
      <c r="AG581" s="33"/>
    </row>
    <row r="582" spans="2:33">
      <c r="D582" t="s">
        <v>189</v>
      </c>
      <c r="I582" s="7">
        <v>0</v>
      </c>
      <c r="K582" s="7">
        <v>0</v>
      </c>
      <c r="M582" s="7">
        <v>0</v>
      </c>
      <c r="O582" s="7">
        <v>0</v>
      </c>
      <c r="Q582" s="7">
        <v>0</v>
      </c>
      <c r="S582" s="22" t="s">
        <v>74</v>
      </c>
      <c r="Y582" s="10">
        <v>43465</v>
      </c>
      <c r="Z582" s="8"/>
      <c r="AA582" s="10">
        <v>43830</v>
      </c>
      <c r="AB582" s="8"/>
      <c r="AC582" s="10">
        <v>44196</v>
      </c>
      <c r="AD582" s="8"/>
      <c r="AE582" s="10">
        <v>44561</v>
      </c>
      <c r="AF582" s="8"/>
      <c r="AG582" s="10">
        <v>44926</v>
      </c>
    </row>
    <row r="583" spans="2:33">
      <c r="D583" t="s">
        <v>190</v>
      </c>
      <c r="I583" s="7">
        <v>0</v>
      </c>
      <c r="K583" s="7">
        <v>0</v>
      </c>
      <c r="M583" s="7">
        <v>0</v>
      </c>
      <c r="O583" s="7">
        <v>0</v>
      </c>
      <c r="Q583" s="7">
        <v>0</v>
      </c>
      <c r="Y583"/>
      <c r="AA583"/>
      <c r="AC583"/>
      <c r="AE583"/>
      <c r="AG583"/>
    </row>
    <row r="584" spans="2:33">
      <c r="D584" t="s">
        <v>111</v>
      </c>
      <c r="I584" s="7">
        <v>5000</v>
      </c>
      <c r="K584" s="7">
        <v>5000</v>
      </c>
      <c r="M584" s="7">
        <v>5000</v>
      </c>
      <c r="O584" s="7">
        <v>5000</v>
      </c>
      <c r="Q584" s="7">
        <v>5000</v>
      </c>
      <c r="S584" t="s">
        <v>115</v>
      </c>
      <c r="Y584" s="94">
        <v>0.24209780627011385</v>
      </c>
      <c r="AA584" s="94">
        <v>0.20628161471431147</v>
      </c>
      <c r="AC584" s="94">
        <v>0.17967474905828509</v>
      </c>
      <c r="AE584" s="94">
        <v>0.15912701997007028</v>
      </c>
      <c r="AG584" s="94">
        <v>0.14279057880054341</v>
      </c>
    </row>
    <row r="585" spans="2:33" ht="15" thickBot="1">
      <c r="D585" t="s">
        <v>191</v>
      </c>
      <c r="I585" s="54">
        <v>0</v>
      </c>
      <c r="K585" s="54">
        <v>0</v>
      </c>
      <c r="M585" s="54">
        <v>0</v>
      </c>
      <c r="O585" s="54">
        <v>0</v>
      </c>
      <c r="Q585" s="54">
        <v>0</v>
      </c>
      <c r="S585" t="s">
        <v>116</v>
      </c>
      <c r="Y585" s="94">
        <v>0.24209780627011385</v>
      </c>
      <c r="AA585" s="94">
        <v>0.20628161471431147</v>
      </c>
      <c r="AC585" s="94">
        <v>0.17967474905828509</v>
      </c>
      <c r="AE585" s="94">
        <v>0.15912701997007028</v>
      </c>
      <c r="AG585" s="94">
        <v>0.14279057880054341</v>
      </c>
    </row>
    <row r="586" spans="2:33" ht="15" thickTop="1">
      <c r="S586" t="s">
        <v>242</v>
      </c>
      <c r="Y586" s="94">
        <v>9.2715152523787481E-2</v>
      </c>
      <c r="AA586" s="94">
        <v>7.4246973820376233E-2</v>
      </c>
      <c r="AC586" s="94">
        <v>6.0780414010213335E-2</v>
      </c>
      <c r="AE586" s="94">
        <v>5.0591657567105465E-2</v>
      </c>
      <c r="AG586" s="94">
        <v>4.2667078326294038E-2</v>
      </c>
    </row>
    <row r="587" spans="2:33">
      <c r="D587" t="s">
        <v>192</v>
      </c>
      <c r="I587" s="7">
        <v>68816.740000000005</v>
      </c>
      <c r="K587" s="7">
        <v>70731.242200000008</v>
      </c>
      <c r="M587" s="7">
        <v>72703.179466000016</v>
      </c>
      <c r="O587" s="7">
        <v>74734.274849980022</v>
      </c>
      <c r="Q587" s="7">
        <v>76826.303095479423</v>
      </c>
      <c r="S587" t="s">
        <v>48</v>
      </c>
      <c r="Y587" s="94">
        <v>7.2502629652106604E-2</v>
      </c>
      <c r="AA587" s="94">
        <v>5.8969720248177822E-2</v>
      </c>
      <c r="AC587" s="94">
        <v>4.1514916829517648E-2</v>
      </c>
      <c r="AE587" s="94">
        <v>3.2560319215294092E-2</v>
      </c>
      <c r="AG587" s="94">
        <v>2.6544611317040483E-2</v>
      </c>
    </row>
    <row r="588" spans="2:33">
      <c r="S588" t="s">
        <v>207</v>
      </c>
      <c r="Y588" s="97">
        <v>7465</v>
      </c>
      <c r="AA588" s="7">
        <v>41779.20000000007</v>
      </c>
      <c r="AC588" s="7">
        <v>44453.068800000008</v>
      </c>
      <c r="AE588" s="7">
        <v>47298.065203200094</v>
      </c>
      <c r="AG588" s="7">
        <v>50325.141376204905</v>
      </c>
    </row>
    <row r="589" spans="2:33">
      <c r="C589" t="s">
        <v>193</v>
      </c>
      <c r="I589" s="7">
        <v>462649.92666666675</v>
      </c>
      <c r="K589" s="7">
        <v>502514.62446666672</v>
      </c>
      <c r="M589" s="7">
        <v>544995.75600066665</v>
      </c>
      <c r="O589" s="7">
        <v>590262.72581988678</v>
      </c>
      <c r="Q589" s="7">
        <v>638495.83895059233</v>
      </c>
      <c r="S589" t="s">
        <v>118</v>
      </c>
      <c r="Y589" s="97">
        <v>600682.87666666694</v>
      </c>
      <c r="AA589" s="7">
        <v>670709.72363333311</v>
      </c>
      <c r="AC589" s="7">
        <v>746026.51234899973</v>
      </c>
      <c r="AE589" s="7">
        <v>828359.06028567022</v>
      </c>
      <c r="AG589" s="7">
        <v>917792.29476399254</v>
      </c>
    </row>
    <row r="590" spans="2:33">
      <c r="S590" t="s">
        <v>119</v>
      </c>
      <c r="Y590" s="94">
        <v>9.4944272030864703E-4</v>
      </c>
      <c r="AA590" s="94">
        <v>-5.1907801980455789E-3</v>
      </c>
      <c r="AC590" s="94">
        <v>-1.4002830768575351E-3</v>
      </c>
      <c r="AE590" s="94">
        <v>-1.0591919107627826E-3</v>
      </c>
      <c r="AG590" s="94">
        <v>-1.083668583199357E-3</v>
      </c>
    </row>
    <row r="591" spans="2:33">
      <c r="B591" s="6" t="s">
        <v>168</v>
      </c>
      <c r="S591" t="s">
        <v>280</v>
      </c>
      <c r="Y591" s="94">
        <v>5.1190984050233326E-2</v>
      </c>
      <c r="AA591" s="94">
        <v>4.995190849817234E-2</v>
      </c>
      <c r="AC591" s="94">
        <v>4.8874930398552091E-2</v>
      </c>
      <c r="AE591" s="94">
        <v>4.818275288510368E-2</v>
      </c>
      <c r="AG591" s="94">
        <v>4.7667055025786664E-2</v>
      </c>
    </row>
    <row r="592" spans="2:33">
      <c r="S592" t="s">
        <v>124</v>
      </c>
      <c r="Y592" s="94">
        <v>0</v>
      </c>
      <c r="AA592" s="94">
        <v>0</v>
      </c>
      <c r="AC592" s="94">
        <v>0</v>
      </c>
      <c r="AE592" s="94">
        <v>0</v>
      </c>
      <c r="AG592" s="94">
        <v>0</v>
      </c>
    </row>
    <row r="593" spans="2:33">
      <c r="C593" t="s">
        <v>279</v>
      </c>
      <c r="I593" s="7">
        <v>138032.95000000001</v>
      </c>
      <c r="K593" s="7">
        <v>168195.09916666668</v>
      </c>
      <c r="M593" s="7">
        <v>201030.75634833332</v>
      </c>
      <c r="O593" s="7">
        <v>238096.33446578332</v>
      </c>
      <c r="Q593" s="7">
        <v>279296.45581340016</v>
      </c>
      <c r="S593" t="s">
        <v>127</v>
      </c>
      <c r="Y593" s="94">
        <v>9.4944272030864703E-4</v>
      </c>
      <c r="AA593" s="94">
        <v>-5.1907801980455789E-3</v>
      </c>
      <c r="AC593" s="94">
        <v>-1.4002830768575351E-3</v>
      </c>
      <c r="AE593" s="94">
        <v>-1.0591919107627826E-3</v>
      </c>
      <c r="AG593" s="94">
        <v>-1.083668583199357E-3</v>
      </c>
    </row>
    <row r="594" spans="2:33" ht="15" thickBot="1">
      <c r="C594" t="s">
        <v>194</v>
      </c>
      <c r="I594" s="54">
        <v>0</v>
      </c>
      <c r="K594" s="54">
        <v>0</v>
      </c>
      <c r="M594" s="54">
        <v>0</v>
      </c>
      <c r="O594" s="54">
        <v>0</v>
      </c>
      <c r="Q594" s="54">
        <v>0</v>
      </c>
      <c r="S594" t="s">
        <v>128</v>
      </c>
      <c r="Y594" s="94">
        <v>0.41049590860428153</v>
      </c>
      <c r="AA594" s="94">
        <v>0.28692886643946697</v>
      </c>
      <c r="AC594" s="94">
        <v>0.21532046081138487</v>
      </c>
      <c r="AE594" s="94">
        <v>0.16822955479303603</v>
      </c>
      <c r="AG594" s="94">
        <v>0.13494538639513709</v>
      </c>
    </row>
    <row r="595" spans="2:33" ht="15" thickTop="1">
      <c r="S595" t="s">
        <v>73</v>
      </c>
      <c r="Y595" s="94">
        <v>0.18586601307189538</v>
      </c>
      <c r="AA595" s="94">
        <v>0.17468610251117986</v>
      </c>
      <c r="AC595" s="94">
        <v>0.1641786677736653</v>
      </c>
      <c r="AE595" s="94">
        <v>0.15430325918577562</v>
      </c>
      <c r="AG595" s="94">
        <v>0.14502186013700719</v>
      </c>
    </row>
    <row r="596" spans="2:33">
      <c r="C596" t="s">
        <v>195</v>
      </c>
      <c r="I596" s="7">
        <v>138032.95000000001</v>
      </c>
      <c r="K596" s="7">
        <v>168195.09916666668</v>
      </c>
      <c r="M596" s="7">
        <v>201030.75634833332</v>
      </c>
      <c r="O596" s="7">
        <v>238096.33446578332</v>
      </c>
      <c r="Q596" s="7">
        <v>279296.45581340016</v>
      </c>
      <c r="S596" t="s">
        <v>132</v>
      </c>
      <c r="Y596" s="94">
        <v>0.10541780024509805</v>
      </c>
      <c r="AA596" s="94">
        <v>0.1018332282337277</v>
      </c>
      <c r="AC596" s="94">
        <v>9.8376190777232822E-2</v>
      </c>
      <c r="AE596" s="94">
        <v>9.5041831172286775E-2</v>
      </c>
      <c r="AG596" s="94">
        <v>9.1825494909526961E-2</v>
      </c>
    </row>
    <row r="597" spans="2:33">
      <c r="S597" t="s">
        <v>134</v>
      </c>
      <c r="Y597" s="94">
        <v>0</v>
      </c>
      <c r="AA597" s="94">
        <v>0</v>
      </c>
      <c r="AC597" s="94">
        <v>0</v>
      </c>
      <c r="AE597" s="94">
        <v>0</v>
      </c>
      <c r="AG597" s="94">
        <v>0</v>
      </c>
    </row>
    <row r="598" spans="2:33">
      <c r="B598" s="6" t="s">
        <v>112</v>
      </c>
      <c r="I598" s="7">
        <v>600682.87666666671</v>
      </c>
      <c r="K598" s="7">
        <v>670709.72363333334</v>
      </c>
      <c r="M598" s="7">
        <v>746026.51234899997</v>
      </c>
      <c r="O598" s="7">
        <v>828359.0602856701</v>
      </c>
      <c r="Q598" s="7">
        <v>917792.29476399254</v>
      </c>
      <c r="S598" t="s">
        <v>135</v>
      </c>
      <c r="Y598" s="94">
        <v>0.39670161356209149</v>
      </c>
      <c r="AA598" s="94">
        <v>0.37835255897863523</v>
      </c>
      <c r="AC598" s="94">
        <v>0.36093104932813092</v>
      </c>
      <c r="AE598" s="94">
        <v>0.34438692153034917</v>
      </c>
      <c r="AG598" s="94">
        <v>0.32867284995606111</v>
      </c>
    </row>
    <row r="599" spans="2:33">
      <c r="B599" s="6"/>
      <c r="S599" t="s">
        <v>47</v>
      </c>
      <c r="Y599" s="94">
        <v>0.21144753370098041</v>
      </c>
      <c r="AA599" s="94">
        <v>0.24215395330966816</v>
      </c>
      <c r="AC599" s="94">
        <v>0.27201891559451929</v>
      </c>
      <c r="AE599" s="94">
        <v>0.30279428907904032</v>
      </c>
      <c r="AG599" s="94">
        <v>0.33382493037142352</v>
      </c>
    </row>
    <row r="600" spans="2:33">
      <c r="B600" s="6" t="s">
        <v>196</v>
      </c>
      <c r="I600" s="7">
        <v>0</v>
      </c>
      <c r="K600" s="7">
        <v>0</v>
      </c>
      <c r="M600" s="7">
        <v>0</v>
      </c>
      <c r="O600" s="7">
        <v>0</v>
      </c>
      <c r="Q600" s="7">
        <v>0</v>
      </c>
      <c r="S600" t="s">
        <v>114</v>
      </c>
      <c r="Y600" s="94">
        <v>0.18525407986111109</v>
      </c>
      <c r="AA600" s="94">
        <v>0.13619860566896708</v>
      </c>
      <c r="AC600" s="94">
        <v>8.891213373361162E-2</v>
      </c>
      <c r="AE600" s="94">
        <v>4.1592632451308842E-2</v>
      </c>
      <c r="AG600" s="94">
        <v>-5.1520804153624145E-3</v>
      </c>
    </row>
    <row r="601" spans="2:33">
      <c r="B601" s="6"/>
      <c r="S601" t="s">
        <v>38</v>
      </c>
      <c r="Y601" s="94">
        <v>5.0097349163928389</v>
      </c>
      <c r="AA601" s="94">
        <v>6.1135472428146276</v>
      </c>
      <c r="AC601" s="94">
        <v>7.2915592512171887</v>
      </c>
      <c r="AE601" s="94">
        <v>8.6093375055712134</v>
      </c>
      <c r="AG601" s="94">
        <v>10.097642987717421</v>
      </c>
    </row>
    <row r="602" spans="2:33">
      <c r="B602" s="6" t="s">
        <v>113</v>
      </c>
      <c r="I602" s="7">
        <v>0</v>
      </c>
      <c r="K602" s="7">
        <v>0</v>
      </c>
      <c r="M602" s="7">
        <v>0</v>
      </c>
      <c r="O602" s="7">
        <v>0</v>
      </c>
      <c r="Q602" s="7">
        <v>0</v>
      </c>
      <c r="S602" t="s">
        <v>39</v>
      </c>
      <c r="Y602" s="7">
        <v>465210.03333333333</v>
      </c>
      <c r="AA602" s="7">
        <v>488518.04446666676</v>
      </c>
      <c r="AC602" s="7">
        <v>540280.80600066669</v>
      </c>
      <c r="AE602" s="7">
        <v>585906.09248655348</v>
      </c>
      <c r="AG602" s="7">
        <v>633140.86228392564</v>
      </c>
    </row>
    <row r="603" spans="2:33">
      <c r="B603" s="6"/>
      <c r="S603" t="s">
        <v>44</v>
      </c>
      <c r="Y603" s="7">
        <v>465210.03333333333</v>
      </c>
      <c r="AA603" s="7">
        <v>488518.04446666676</v>
      </c>
      <c r="AC603" s="7">
        <v>540280.80600066669</v>
      </c>
      <c r="AE603" s="7">
        <v>585906.09248655348</v>
      </c>
      <c r="AG603" s="7">
        <v>633140.86228392564</v>
      </c>
    </row>
    <row r="604" spans="2:33">
      <c r="B604" s="6" t="s">
        <v>162</v>
      </c>
      <c r="I604" s="7">
        <v>600682.87666666671</v>
      </c>
      <c r="K604" s="7">
        <v>670709.72363333334</v>
      </c>
      <c r="M604" s="7">
        <v>746026.51234899997</v>
      </c>
      <c r="O604" s="7">
        <v>828359.0602856701</v>
      </c>
      <c r="Q604" s="7">
        <v>917792.29476399254</v>
      </c>
      <c r="S604" t="s">
        <v>51</v>
      </c>
      <c r="Y604" s="94">
        <v>0.92016372038398697</v>
      </c>
      <c r="AA604" s="94">
        <v>0.96563462256476051</v>
      </c>
      <c r="AC604" s="94">
        <v>1.0094640570436211</v>
      </c>
      <c r="AE604" s="94">
        <v>1.0534491987209778</v>
      </c>
      <c r="AG604" s="94">
        <v>1.0969775753248894</v>
      </c>
    </row>
    <row r="606" spans="2:33" ht="6.75" customHeight="1">
      <c r="B606" s="32"/>
      <c r="C606" s="32"/>
      <c r="D606" s="32"/>
      <c r="E606" s="32"/>
      <c r="F606" s="32"/>
      <c r="G606" s="32"/>
      <c r="H606" s="32"/>
      <c r="I606" s="25"/>
      <c r="J606" s="32"/>
      <c r="K606" s="25"/>
      <c r="L606" s="32"/>
      <c r="M606" s="25"/>
      <c r="N606" s="32"/>
      <c r="O606" s="25"/>
      <c r="P606" s="32"/>
      <c r="Q606" s="25"/>
      <c r="S606" s="32"/>
      <c r="T606" s="32"/>
      <c r="U606" s="32"/>
      <c r="V606" s="32"/>
      <c r="W606" s="32"/>
      <c r="X606" s="32"/>
      <c r="Y606" s="25"/>
      <c r="Z606" s="32"/>
      <c r="AA606" s="25"/>
      <c r="AB606" s="32"/>
      <c r="AC606" s="25"/>
      <c r="AD606" s="32"/>
      <c r="AE606" s="25"/>
      <c r="AF606" s="32"/>
      <c r="AG606" s="25"/>
    </row>
    <row r="609" spans="2:33" ht="26">
      <c r="B609" s="5" t="s">
        <v>198</v>
      </c>
      <c r="S609" s="5">
        <v>0</v>
      </c>
    </row>
    <row r="611" spans="2:33" ht="26">
      <c r="B611" s="5" t="s">
        <v>179</v>
      </c>
      <c r="O611" s="7" t="s">
        <v>284</v>
      </c>
      <c r="Q611" s="7" t="s">
        <v>295</v>
      </c>
      <c r="S611" s="5" t="s">
        <v>200</v>
      </c>
      <c r="AE611" s="7" t="s">
        <v>284</v>
      </c>
      <c r="AG611" s="7" t="s">
        <v>295</v>
      </c>
    </row>
    <row r="612" spans="2:33" ht="6.75" customHeight="1">
      <c r="B612" s="43"/>
      <c r="C612" s="32"/>
      <c r="D612" s="32"/>
      <c r="E612" s="32"/>
      <c r="F612" s="32"/>
      <c r="G612" s="32"/>
      <c r="H612" s="32"/>
      <c r="I612" s="25"/>
      <c r="J612" s="32"/>
      <c r="K612" s="25"/>
      <c r="L612" s="32"/>
      <c r="M612" s="25"/>
      <c r="N612" s="32"/>
      <c r="O612" s="25"/>
      <c r="P612" s="32"/>
      <c r="Q612" s="25"/>
      <c r="S612" s="43"/>
      <c r="T612" s="32"/>
      <c r="U612" s="32"/>
      <c r="V612" s="32"/>
      <c r="W612" s="32"/>
      <c r="X612" s="32"/>
      <c r="Y612" s="25"/>
      <c r="Z612" s="32"/>
      <c r="AA612" s="25"/>
      <c r="AB612" s="32"/>
      <c r="AC612" s="25"/>
      <c r="AD612" s="32"/>
      <c r="AE612" s="25"/>
      <c r="AF612" s="32"/>
      <c r="AG612" s="25"/>
    </row>
    <row r="613" spans="2:33" ht="17.25" customHeight="1">
      <c r="B613" s="5"/>
      <c r="S613" s="5"/>
    </row>
    <row r="614" spans="2:33" ht="15" thickBot="1">
      <c r="I614" s="33"/>
      <c r="J614" s="34"/>
      <c r="K614" s="33"/>
      <c r="L614" s="34"/>
      <c r="M614" s="35" t="s">
        <v>58</v>
      </c>
      <c r="N614" s="34"/>
      <c r="O614" s="33"/>
      <c r="P614" s="34"/>
      <c r="Q614" s="33"/>
      <c r="Y614" s="33"/>
      <c r="Z614" s="34"/>
      <c r="AA614" s="33"/>
      <c r="AB614" s="34"/>
      <c r="AC614" s="35" t="s">
        <v>59</v>
      </c>
      <c r="AD614" s="34"/>
      <c r="AE614" s="33"/>
      <c r="AF614" s="34"/>
      <c r="AG614" s="33"/>
    </row>
    <row r="615" spans="2:33">
      <c r="B615" s="6" t="s">
        <v>180</v>
      </c>
      <c r="I615" s="8">
        <v>2019</v>
      </c>
      <c r="J615" s="8"/>
      <c r="K615" s="8">
        <v>2020</v>
      </c>
      <c r="L615" s="8"/>
      <c r="M615" s="8">
        <v>2021</v>
      </c>
      <c r="N615" s="8"/>
      <c r="O615" s="8">
        <v>2022</v>
      </c>
      <c r="P615" s="8"/>
      <c r="Q615" s="8">
        <v>2023</v>
      </c>
      <c r="S615" s="6" t="s">
        <v>201</v>
      </c>
      <c r="Y615" s="10">
        <v>43465</v>
      </c>
      <c r="Z615" s="8"/>
      <c r="AA615" s="10">
        <v>43830</v>
      </c>
      <c r="AB615" s="8"/>
      <c r="AC615" s="10">
        <v>44196</v>
      </c>
      <c r="AD615" s="8"/>
      <c r="AE615" s="10">
        <v>44561</v>
      </c>
      <c r="AF615" s="8"/>
      <c r="AG615" s="10">
        <v>44926</v>
      </c>
    </row>
    <row r="617" spans="2:33">
      <c r="C617" t="s">
        <v>86</v>
      </c>
      <c r="I617" s="7">
        <v>652800</v>
      </c>
      <c r="K617" s="7">
        <v>694579.20000000007</v>
      </c>
      <c r="M617" s="7">
        <v>739032.26880000008</v>
      </c>
      <c r="O617" s="7">
        <v>786330.33400320017</v>
      </c>
      <c r="Q617" s="7">
        <v>836655.47537940508</v>
      </c>
      <c r="T617" t="s">
        <v>281</v>
      </c>
      <c r="Y617" s="7">
        <v>1635358.0249333335</v>
      </c>
      <c r="AA617" s="7">
        <v>2286792.9210466668</v>
      </c>
      <c r="AC617" s="7">
        <v>3021233.9054996669</v>
      </c>
      <c r="AE617" s="7">
        <v>3837136.6136612035</v>
      </c>
      <c r="AG617" s="7">
        <v>4740449.2986281887</v>
      </c>
    </row>
    <row r="618" spans="2:33">
      <c r="C618" t="s">
        <v>181</v>
      </c>
      <c r="I618" s="7">
        <v>0</v>
      </c>
      <c r="K618" s="7">
        <v>0</v>
      </c>
      <c r="M618" s="7">
        <v>0</v>
      </c>
      <c r="O618" s="7">
        <v>0</v>
      </c>
      <c r="Q618" s="7">
        <v>0</v>
      </c>
      <c r="T618" t="s">
        <v>165</v>
      </c>
      <c r="Y618" s="7">
        <v>0</v>
      </c>
      <c r="AA618" s="7">
        <v>0</v>
      </c>
      <c r="AC618" s="7">
        <v>0</v>
      </c>
      <c r="AE618" s="7">
        <v>0</v>
      </c>
      <c r="AG618" s="7">
        <v>0</v>
      </c>
    </row>
    <row r="619" spans="2:33">
      <c r="C619" t="s">
        <v>110</v>
      </c>
      <c r="I619" s="7">
        <v>0</v>
      </c>
      <c r="K619" s="7">
        <v>0</v>
      </c>
      <c r="M619" s="7">
        <v>0</v>
      </c>
      <c r="O619" s="7">
        <v>0</v>
      </c>
      <c r="Q619" s="7">
        <v>0</v>
      </c>
      <c r="T619" t="s">
        <v>202</v>
      </c>
      <c r="Y619" s="7">
        <v>1725710</v>
      </c>
      <c r="AA619" s="7">
        <v>1725710</v>
      </c>
      <c r="AC619" s="7">
        <v>1725710</v>
      </c>
      <c r="AE619" s="7">
        <v>1725710</v>
      </c>
      <c r="AG619" s="7">
        <v>1725710</v>
      </c>
    </row>
    <row r="620" spans="2:33" ht="15" thickBot="1">
      <c r="C620" t="s">
        <v>125</v>
      </c>
      <c r="I620" s="54">
        <v>0</v>
      </c>
      <c r="K620" s="54">
        <v>0</v>
      </c>
      <c r="M620" s="54">
        <v>0</v>
      </c>
      <c r="O620" s="54">
        <v>0</v>
      </c>
      <c r="Q620" s="54">
        <v>0</v>
      </c>
      <c r="T620" t="s">
        <v>203</v>
      </c>
      <c r="Y620" s="54">
        <v>5000</v>
      </c>
      <c r="AA620" s="54">
        <v>5000</v>
      </c>
      <c r="AC620" s="54">
        <v>5000</v>
      </c>
      <c r="AE620" s="54">
        <v>5000</v>
      </c>
      <c r="AG620" s="54">
        <v>5000</v>
      </c>
    </row>
    <row r="621" spans="2:33" ht="15" thickTop="1"/>
    <row r="622" spans="2:33">
      <c r="C622" t="s">
        <v>182</v>
      </c>
      <c r="I622" s="7">
        <v>652800</v>
      </c>
      <c r="K622" s="7">
        <v>694579.20000000007</v>
      </c>
      <c r="M622" s="7">
        <v>739032.26880000008</v>
      </c>
      <c r="O622" s="7">
        <v>786330.33400320017</v>
      </c>
      <c r="Q622" s="7">
        <v>836655.47537940508</v>
      </c>
      <c r="T622" t="s">
        <v>166</v>
      </c>
      <c r="Y622" s="7">
        <v>3366068.0249333335</v>
      </c>
      <c r="AA622" s="7">
        <v>4017502.9210466668</v>
      </c>
      <c r="AC622" s="7">
        <v>4751943.9054996669</v>
      </c>
      <c r="AE622" s="7">
        <v>5567846.6136612035</v>
      </c>
      <c r="AG622" s="7">
        <v>6471159.2986281887</v>
      </c>
    </row>
    <row r="624" spans="2:33">
      <c r="B624" s="6" t="s">
        <v>183</v>
      </c>
      <c r="S624" s="6" t="s">
        <v>204</v>
      </c>
    </row>
    <row r="626" spans="3:33">
      <c r="C626" t="s">
        <v>184</v>
      </c>
      <c r="I626" s="7">
        <v>121607.18506666666</v>
      </c>
      <c r="K626" s="7">
        <v>140466.46293333333</v>
      </c>
      <c r="M626" s="7">
        <v>132513.25093333333</v>
      </c>
      <c r="O626" s="7">
        <v>133040.54626666667</v>
      </c>
      <c r="Q626" s="7">
        <v>134658.818</v>
      </c>
      <c r="T626" t="s">
        <v>205</v>
      </c>
      <c r="Y626" s="7">
        <v>258415.26826666665</v>
      </c>
      <c r="AA626" s="7">
        <v>248138.25866666666</v>
      </c>
      <c r="AC626" s="7">
        <v>245814.46106666667</v>
      </c>
      <c r="AE626" s="7">
        <v>242963.36813333334</v>
      </c>
      <c r="AG626" s="7">
        <v>238494.00346666665</v>
      </c>
    </row>
    <row r="627" spans="3:33" ht="15" thickBot="1">
      <c r="C627" t="s">
        <v>185</v>
      </c>
      <c r="I627" s="54">
        <v>8582.2682666666515</v>
      </c>
      <c r="K627" s="54">
        <v>-10277.00959999999</v>
      </c>
      <c r="M627" s="54">
        <v>-2323.7975999999908</v>
      </c>
      <c r="O627" s="54">
        <v>-2851.0929333333333</v>
      </c>
      <c r="Q627" s="54">
        <v>-4469.36466666669</v>
      </c>
      <c r="T627" t="s">
        <v>206</v>
      </c>
      <c r="Y627" s="54">
        <v>420078</v>
      </c>
      <c r="AA627" s="54">
        <v>420078</v>
      </c>
      <c r="AC627" s="54">
        <v>420078</v>
      </c>
      <c r="AE627" s="54">
        <v>420078</v>
      </c>
      <c r="AG627" s="54">
        <v>420078</v>
      </c>
    </row>
    <row r="628" spans="3:33" ht="15" thickTop="1"/>
    <row r="629" spans="3:33">
      <c r="C629" t="s">
        <v>186</v>
      </c>
      <c r="I629" s="7">
        <v>130189.45333333331</v>
      </c>
      <c r="K629" s="7">
        <v>130189.45333333334</v>
      </c>
      <c r="M629" s="7">
        <v>130189.45333333334</v>
      </c>
      <c r="O629" s="7">
        <v>130189.45333333334</v>
      </c>
      <c r="Q629" s="7">
        <v>130189.45333333331</v>
      </c>
      <c r="T629" t="s">
        <v>167</v>
      </c>
      <c r="Y629" s="7">
        <v>678493.26826666668</v>
      </c>
      <c r="AA629" s="7">
        <v>668216.25866666669</v>
      </c>
      <c r="AC629" s="7">
        <v>665892.46106666664</v>
      </c>
      <c r="AE629" s="7">
        <v>663041.36813333328</v>
      </c>
      <c r="AG629" s="7">
        <v>658572.00346666668</v>
      </c>
    </row>
    <row r="631" spans="3:33">
      <c r="C631" t="s">
        <v>164</v>
      </c>
      <c r="I631" s="7">
        <v>522610.54666666669</v>
      </c>
      <c r="K631" s="7">
        <v>564389.7466666667</v>
      </c>
      <c r="M631" s="7">
        <v>608842.81546666671</v>
      </c>
      <c r="O631" s="7">
        <v>656140.8806698668</v>
      </c>
      <c r="Q631" s="7">
        <v>706466.02204607171</v>
      </c>
      <c r="S631" s="6" t="s">
        <v>169</v>
      </c>
      <c r="Y631" s="7">
        <v>2687574.7566666668</v>
      </c>
      <c r="AA631" s="7">
        <v>3349286.6623800001</v>
      </c>
      <c r="AC631" s="7">
        <v>4086051.4444330004</v>
      </c>
      <c r="AE631" s="7">
        <v>4904805.24552787</v>
      </c>
      <c r="AG631" s="7">
        <v>5812587.295161522</v>
      </c>
    </row>
    <row r="632" spans="3:33">
      <c r="S632" s="6"/>
    </row>
    <row r="633" spans="3:33" ht="6.75" customHeight="1">
      <c r="S633" s="32"/>
      <c r="T633" s="32"/>
      <c r="U633" s="32"/>
      <c r="V633" s="32"/>
      <c r="W633" s="32"/>
      <c r="X633" s="32"/>
      <c r="Y633" s="25"/>
      <c r="Z633" s="32"/>
      <c r="AA633" s="25"/>
      <c r="AB633" s="32"/>
      <c r="AC633" s="25"/>
      <c r="AD633" s="32"/>
      <c r="AE633" s="25"/>
      <c r="AF633" s="32"/>
      <c r="AG633" s="25"/>
    </row>
    <row r="634" spans="3:33" ht="26">
      <c r="C634" t="s">
        <v>163</v>
      </c>
      <c r="S634" s="23" t="s">
        <v>53</v>
      </c>
      <c r="X634" s="5"/>
      <c r="Y634"/>
      <c r="AA634"/>
      <c r="AC634"/>
      <c r="AE634" t="s">
        <v>284</v>
      </c>
      <c r="AG634" t="s">
        <v>295</v>
      </c>
    </row>
    <row r="635" spans="3:33" ht="15.75" customHeight="1">
      <c r="D635" t="s">
        <v>187</v>
      </c>
      <c r="I635" s="7">
        <v>63816.740000000005</v>
      </c>
      <c r="K635" s="7">
        <v>65731.242200000008</v>
      </c>
      <c r="M635" s="7">
        <v>67703.179466000016</v>
      </c>
      <c r="O635" s="7">
        <v>69734.274849980022</v>
      </c>
      <c r="Q635" s="7">
        <v>71826.303095479423</v>
      </c>
      <c r="S635" s="5"/>
    </row>
    <row r="636" spans="3:33" ht="15" thickBot="1">
      <c r="D636" t="s">
        <v>188</v>
      </c>
      <c r="I636" s="7">
        <v>0</v>
      </c>
      <c r="K636" s="7">
        <v>0</v>
      </c>
      <c r="M636" s="7">
        <v>0</v>
      </c>
      <c r="O636" s="7">
        <v>0</v>
      </c>
      <c r="Q636" s="7">
        <v>0</v>
      </c>
      <c r="Y636" s="33"/>
      <c r="Z636" s="34"/>
      <c r="AA636" s="33"/>
      <c r="AB636" s="34"/>
      <c r="AC636" s="35" t="s">
        <v>59</v>
      </c>
      <c r="AD636" s="34"/>
      <c r="AE636" s="33"/>
      <c r="AF636" s="34"/>
      <c r="AG636" s="33"/>
    </row>
    <row r="637" spans="3:33">
      <c r="D637" t="s">
        <v>189</v>
      </c>
      <c r="I637" s="7">
        <v>0</v>
      </c>
      <c r="K637" s="7">
        <v>0</v>
      </c>
      <c r="M637" s="7">
        <v>0</v>
      </c>
      <c r="O637" s="7">
        <v>0</v>
      </c>
      <c r="Q637" s="7">
        <v>0</v>
      </c>
      <c r="S637" s="22" t="s">
        <v>74</v>
      </c>
      <c r="Y637" s="10">
        <v>43465</v>
      </c>
      <c r="Z637" s="8"/>
      <c r="AA637" s="10">
        <v>43830</v>
      </c>
      <c r="AB637" s="8"/>
      <c r="AC637" s="10">
        <v>44196</v>
      </c>
      <c r="AD637" s="8"/>
      <c r="AE637" s="10">
        <v>44561</v>
      </c>
      <c r="AF637" s="8"/>
      <c r="AG637" s="10">
        <v>44926</v>
      </c>
    </row>
    <row r="638" spans="3:33">
      <c r="D638" t="s">
        <v>190</v>
      </c>
      <c r="I638" s="7">
        <v>0</v>
      </c>
      <c r="K638" s="7">
        <v>0</v>
      </c>
      <c r="M638" s="7">
        <v>0</v>
      </c>
      <c r="O638" s="7">
        <v>0</v>
      </c>
      <c r="Q638" s="7">
        <v>0</v>
      </c>
      <c r="Y638"/>
      <c r="AA638"/>
      <c r="AC638"/>
      <c r="AE638"/>
      <c r="AG638"/>
    </row>
    <row r="639" spans="3:33">
      <c r="D639" t="s">
        <v>111</v>
      </c>
      <c r="I639" s="7">
        <v>5000</v>
      </c>
      <c r="K639" s="7">
        <v>5000</v>
      </c>
      <c r="M639" s="7">
        <v>5000</v>
      </c>
      <c r="O639" s="7">
        <v>5000</v>
      </c>
      <c r="Q639" s="7">
        <v>5000</v>
      </c>
      <c r="S639" t="s">
        <v>115</v>
      </c>
      <c r="Y639" s="94">
        <v>0.24289556909280241</v>
      </c>
      <c r="AA639" s="94">
        <v>0.20738123368228883</v>
      </c>
      <c r="AC639" s="94">
        <v>0.1808670984323722</v>
      </c>
      <c r="AE639" s="94">
        <v>0.1603183601877291</v>
      </c>
      <c r="AG639" s="94">
        <v>0.14393856520242693</v>
      </c>
    </row>
    <row r="640" spans="3:33" ht="15" thickBot="1">
      <c r="D640" t="s">
        <v>191</v>
      </c>
      <c r="I640" s="54">
        <v>0</v>
      </c>
      <c r="K640" s="54">
        <v>0</v>
      </c>
      <c r="M640" s="54">
        <v>0</v>
      </c>
      <c r="O640" s="54">
        <v>0</v>
      </c>
      <c r="Q640" s="54">
        <v>0</v>
      </c>
      <c r="S640" t="s">
        <v>116</v>
      </c>
      <c r="Y640" s="94">
        <v>0.24289556909280241</v>
      </c>
      <c r="AA640" s="94">
        <v>0.20738123368228883</v>
      </c>
      <c r="AC640" s="94">
        <v>0.1808670984323722</v>
      </c>
      <c r="AE640" s="94">
        <v>0.1603183601877291</v>
      </c>
      <c r="AG640" s="94">
        <v>0.14393856520242693</v>
      </c>
    </row>
    <row r="641" spans="2:33" ht="15" thickTop="1">
      <c r="S641" t="s">
        <v>242</v>
      </c>
      <c r="Y641" s="94">
        <v>9.3020668310662691E-2</v>
      </c>
      <c r="AA641" s="94">
        <v>7.4642759847361115E-2</v>
      </c>
      <c r="AC641" s="94">
        <v>6.1183762221253962E-2</v>
      </c>
      <c r="AE641" s="94">
        <v>5.0970423387951304E-2</v>
      </c>
      <c r="AG641" s="94">
        <v>4.3010106739920013E-2</v>
      </c>
    </row>
    <row r="642" spans="2:33">
      <c r="D642" t="s">
        <v>192</v>
      </c>
      <c r="I642" s="7">
        <v>68816.740000000005</v>
      </c>
      <c r="K642" s="7">
        <v>70731.242200000008</v>
      </c>
      <c r="M642" s="7">
        <v>72703.179466000016</v>
      </c>
      <c r="O642" s="7">
        <v>74734.274849980022</v>
      </c>
      <c r="Q642" s="7">
        <v>76826.303095479423</v>
      </c>
      <c r="S642" t="s">
        <v>48</v>
      </c>
      <c r="Y642" s="94">
        <v>7.4361199940682132E-2</v>
      </c>
      <c r="AA642" s="94">
        <v>6.1425090851270313E-2</v>
      </c>
      <c r="AC642" s="94">
        <v>4.3860639420242972E-2</v>
      </c>
      <c r="AE642" s="94">
        <v>3.4671829455591378E-2</v>
      </c>
      <c r="AG642" s="94">
        <v>2.8406340732083802E-2</v>
      </c>
    </row>
    <row r="643" spans="2:33">
      <c r="S643" t="s">
        <v>207</v>
      </c>
      <c r="Y643" s="97">
        <v>7465</v>
      </c>
      <c r="AA643" s="7">
        <v>41779.20000000007</v>
      </c>
      <c r="AC643" s="7">
        <v>44453.068800000008</v>
      </c>
      <c r="AE643" s="7">
        <v>47298.065203200094</v>
      </c>
      <c r="AG643" s="7">
        <v>50325.141376204905</v>
      </c>
    </row>
    <row r="644" spans="2:33">
      <c r="C644" t="s">
        <v>193</v>
      </c>
      <c r="I644" s="7">
        <v>453793.8066666667</v>
      </c>
      <c r="K644" s="7">
        <v>493658.50446666672</v>
      </c>
      <c r="M644" s="7">
        <v>536139.63600066665</v>
      </c>
      <c r="O644" s="7">
        <v>581406.60581988678</v>
      </c>
      <c r="Q644" s="7">
        <v>629639.71895059233</v>
      </c>
      <c r="S644" t="s">
        <v>118</v>
      </c>
      <c r="Y644" s="97">
        <v>591826.75666666683</v>
      </c>
      <c r="AA644" s="7">
        <v>661711.90571333328</v>
      </c>
      <c r="AC644" s="7">
        <v>736764.78205300029</v>
      </c>
      <c r="AE644" s="7">
        <v>818753.80109486962</v>
      </c>
      <c r="AG644" s="7">
        <v>907782.04963365197</v>
      </c>
    </row>
    <row r="645" spans="2:33">
      <c r="S645" t="s">
        <v>119</v>
      </c>
      <c r="Y645" s="94">
        <v>3.1933133191468983E-3</v>
      </c>
      <c r="AA645" s="94">
        <v>-3.8238972049083812E-3</v>
      </c>
      <c r="AC645" s="94">
        <v>-6.938186647626938E-4</v>
      </c>
      <c r="AE645" s="94">
        <v>-6.9776236841505659E-4</v>
      </c>
      <c r="AG645" s="94">
        <v>-9.1122163734060427E-4</v>
      </c>
    </row>
    <row r="646" spans="2:33">
      <c r="B646" s="6" t="s">
        <v>168</v>
      </c>
      <c r="S646" t="s">
        <v>280</v>
      </c>
      <c r="Y646" s="94">
        <v>5.1359669031569154E-2</v>
      </c>
      <c r="AA646" s="94">
        <v>5.0175878683148635E-2</v>
      </c>
      <c r="AC646" s="94">
        <v>4.9100004926681248E-2</v>
      </c>
      <c r="AE646" s="94">
        <v>4.839074813243463E-2</v>
      </c>
      <c r="AG646" s="94">
        <v>4.7851725326274186E-2</v>
      </c>
    </row>
    <row r="647" spans="2:33">
      <c r="S647" t="s">
        <v>124</v>
      </c>
      <c r="Y647" s="94">
        <v>0</v>
      </c>
      <c r="AA647" s="94">
        <v>0</v>
      </c>
      <c r="AC647" s="94">
        <v>0</v>
      </c>
      <c r="AE647" s="94">
        <v>0</v>
      </c>
      <c r="AG647" s="94">
        <v>0</v>
      </c>
    </row>
    <row r="648" spans="2:33">
      <c r="C648" t="s">
        <v>279</v>
      </c>
      <c r="I648" s="7">
        <v>138032.95000000001</v>
      </c>
      <c r="K648" s="7">
        <v>168053.40124666668</v>
      </c>
      <c r="M648" s="7">
        <v>200625.14605233335</v>
      </c>
      <c r="O648" s="7">
        <v>237347.19527498336</v>
      </c>
      <c r="Q648" s="7">
        <v>278142.33068306017</v>
      </c>
      <c r="S648" t="s">
        <v>127</v>
      </c>
      <c r="Y648" s="94">
        <v>3.1933133191468983E-3</v>
      </c>
      <c r="AA648" s="94">
        <v>-3.8238972049083812E-3</v>
      </c>
      <c r="AC648" s="94">
        <v>-6.938186647626938E-4</v>
      </c>
      <c r="AE648" s="94">
        <v>-6.9776236841505659E-4</v>
      </c>
      <c r="AG648" s="94">
        <v>-9.1122163734060427E-4</v>
      </c>
    </row>
    <row r="649" spans="2:33" ht="15" thickBot="1">
      <c r="C649" t="s">
        <v>194</v>
      </c>
      <c r="I649" s="54">
        <v>0</v>
      </c>
      <c r="K649" s="54">
        <v>0</v>
      </c>
      <c r="M649" s="54">
        <v>0</v>
      </c>
      <c r="O649" s="54">
        <v>0</v>
      </c>
      <c r="Q649" s="54">
        <v>0</v>
      </c>
      <c r="S649" t="s">
        <v>128</v>
      </c>
      <c r="Y649" s="94">
        <v>0.41488974152575914</v>
      </c>
      <c r="AA649" s="94">
        <v>0.29220671995119857</v>
      </c>
      <c r="AC649" s="94">
        <v>0.22040414012781906</v>
      </c>
      <c r="AE649" s="94">
        <v>0.17279587225868731</v>
      </c>
      <c r="AG649" s="94">
        <v>0.13892607261030027</v>
      </c>
    </row>
    <row r="650" spans="2:33" ht="15" thickTop="1">
      <c r="S650" t="s">
        <v>73</v>
      </c>
      <c r="Y650" s="94">
        <v>0.19943237336601302</v>
      </c>
      <c r="AA650" s="94">
        <v>0.18743644113347091</v>
      </c>
      <c r="AC650" s="94">
        <v>0.17616206873446516</v>
      </c>
      <c r="AE650" s="94">
        <v>0.16556585407374541</v>
      </c>
      <c r="AG650" s="94">
        <v>0.1556070057084073</v>
      </c>
    </row>
    <row r="651" spans="2:33">
      <c r="C651" t="s">
        <v>195</v>
      </c>
      <c r="I651" s="7">
        <v>138032.95000000001</v>
      </c>
      <c r="K651" s="7">
        <v>168053.40124666668</v>
      </c>
      <c r="M651" s="7">
        <v>200625.14605233335</v>
      </c>
      <c r="O651" s="7">
        <v>237347.19527498336</v>
      </c>
      <c r="Q651" s="7">
        <v>278142.33068306017</v>
      </c>
      <c r="S651" t="s">
        <v>132</v>
      </c>
      <c r="Y651" s="94">
        <v>0.10541780024509805</v>
      </c>
      <c r="AA651" s="94">
        <v>0.1018332282337277</v>
      </c>
      <c r="AC651" s="94">
        <v>9.8376190777232822E-2</v>
      </c>
      <c r="AE651" s="94">
        <v>9.5041831172286775E-2</v>
      </c>
      <c r="AG651" s="94">
        <v>9.1825494909526961E-2</v>
      </c>
    </row>
    <row r="652" spans="2:33">
      <c r="S652" t="s">
        <v>134</v>
      </c>
      <c r="Y652" s="94">
        <v>0</v>
      </c>
      <c r="AA652" s="94">
        <v>0</v>
      </c>
      <c r="AC652" s="94">
        <v>0</v>
      </c>
      <c r="AE652" s="94">
        <v>0</v>
      </c>
      <c r="AG652" s="94">
        <v>0</v>
      </c>
    </row>
    <row r="653" spans="2:33">
      <c r="B653" s="6" t="s">
        <v>112</v>
      </c>
      <c r="I653" s="7">
        <v>591826.75666666671</v>
      </c>
      <c r="K653" s="7">
        <v>661711.9057133334</v>
      </c>
      <c r="M653" s="7">
        <v>736764.78205300006</v>
      </c>
      <c r="O653" s="7">
        <v>818753.80109487008</v>
      </c>
      <c r="Q653" s="7">
        <v>907782.04963365244</v>
      </c>
      <c r="S653" t="s">
        <v>135</v>
      </c>
      <c r="Y653" s="94">
        <v>0.41026797385620911</v>
      </c>
      <c r="AA653" s="94">
        <v>0.39110289760092631</v>
      </c>
      <c r="AC653" s="94">
        <v>0.37291445028893078</v>
      </c>
      <c r="AE653" s="94">
        <v>0.35564951641831893</v>
      </c>
      <c r="AG653" s="94">
        <v>0.33925799552746122</v>
      </c>
    </row>
    <row r="654" spans="2:33">
      <c r="B654" s="6"/>
      <c r="S654" t="s">
        <v>47</v>
      </c>
      <c r="Y654" s="94">
        <v>0.21144753370098041</v>
      </c>
      <c r="AA654" s="94">
        <v>0.24194994789171151</v>
      </c>
      <c r="AC654" s="94">
        <v>0.27147007583051469</v>
      </c>
      <c r="AE654" s="94">
        <v>0.30184158617746698</v>
      </c>
      <c r="AG654" s="94">
        <v>0.33244547949313147</v>
      </c>
    </row>
    <row r="655" spans="2:33">
      <c r="B655" s="6" t="s">
        <v>196</v>
      </c>
      <c r="I655" s="7">
        <v>0</v>
      </c>
      <c r="K655" s="7">
        <v>0</v>
      </c>
      <c r="M655" s="7">
        <v>0</v>
      </c>
      <c r="O655" s="7">
        <v>0</v>
      </c>
      <c r="Q655" s="7">
        <v>0</v>
      </c>
      <c r="S655" t="s">
        <v>114</v>
      </c>
      <c r="Y655" s="94">
        <v>0.19882044015522871</v>
      </c>
      <c r="AA655" s="94">
        <v>0.1491529497092148</v>
      </c>
      <c r="AC655" s="94">
        <v>0.10144437445841609</v>
      </c>
      <c r="AE655" s="94">
        <v>5.3807930240851953E-2</v>
      </c>
      <c r="AG655" s="94">
        <v>6.8125160343297519E-3</v>
      </c>
    </row>
    <row r="656" spans="2:33">
      <c r="B656" s="6"/>
      <c r="S656" t="s">
        <v>38</v>
      </c>
      <c r="Y656" s="94">
        <v>4.9610927364578883</v>
      </c>
      <c r="AA656" s="94">
        <v>6.0122795112214709</v>
      </c>
      <c r="AC656" s="94">
        <v>7.136203190959268</v>
      </c>
      <c r="AE656" s="94">
        <v>8.3974347322195229</v>
      </c>
      <c r="AG656" s="94">
        <v>9.8260467565650522</v>
      </c>
    </row>
    <row r="657" spans="2:33">
      <c r="B657" s="6" t="s">
        <v>113</v>
      </c>
      <c r="I657" s="7">
        <v>0</v>
      </c>
      <c r="K657" s="7">
        <v>0</v>
      </c>
      <c r="M657" s="7">
        <v>0</v>
      </c>
      <c r="O657" s="7">
        <v>0</v>
      </c>
      <c r="Q657" s="7">
        <v>0</v>
      </c>
      <c r="S657" t="s">
        <v>39</v>
      </c>
      <c r="Y657" s="7">
        <v>462376.07493333332</v>
      </c>
      <c r="AA657" s="7">
        <v>483381.49486666673</v>
      </c>
      <c r="AC657" s="7">
        <v>533815.83840066672</v>
      </c>
      <c r="AE657" s="7">
        <v>578555.51288655342</v>
      </c>
      <c r="AG657" s="7">
        <v>625170.35428392573</v>
      </c>
    </row>
    <row r="658" spans="2:33">
      <c r="B658" s="6"/>
      <c r="S658" t="s">
        <v>44</v>
      </c>
      <c r="Y658" s="7">
        <v>462376.07493333332</v>
      </c>
      <c r="AA658" s="7">
        <v>483381.49486666673</v>
      </c>
      <c r="AC658" s="7">
        <v>533815.83840066672</v>
      </c>
      <c r="AE658" s="7">
        <v>578555.51288655342</v>
      </c>
      <c r="AG658" s="7">
        <v>625170.35428392573</v>
      </c>
    </row>
    <row r="659" spans="2:33">
      <c r="B659" s="6" t="s">
        <v>162</v>
      </c>
      <c r="I659" s="7">
        <v>591826.75666666671</v>
      </c>
      <c r="K659" s="7">
        <v>661711.9057133334</v>
      </c>
      <c r="M659" s="7">
        <v>736764.78205300006</v>
      </c>
      <c r="O659" s="7">
        <v>818753.80109487008</v>
      </c>
      <c r="Q659" s="7">
        <v>907782.04963365244</v>
      </c>
      <c r="S659" t="s">
        <v>51</v>
      </c>
      <c r="Y659" s="94">
        <v>0.90659736008986935</v>
      </c>
      <c r="AA659" s="94">
        <v>0.95268027852451287</v>
      </c>
      <c r="AC659" s="94">
        <v>0.99693181631881667</v>
      </c>
      <c r="AE659" s="94">
        <v>1.0412339009314346</v>
      </c>
      <c r="AG659" s="94">
        <v>1.0850129788751972</v>
      </c>
    </row>
    <row r="661" spans="2:33" ht="6.75" customHeight="1">
      <c r="B661" s="32"/>
      <c r="C661" s="32"/>
      <c r="D661" s="32"/>
      <c r="E661" s="32"/>
      <c r="F661" s="32"/>
      <c r="G661" s="32"/>
      <c r="H661" s="32"/>
      <c r="I661" s="25"/>
      <c r="J661" s="32"/>
      <c r="K661" s="25"/>
      <c r="L661" s="32"/>
      <c r="M661" s="25"/>
      <c r="N661" s="32"/>
      <c r="O661" s="25"/>
      <c r="P661" s="32"/>
      <c r="Q661" s="25"/>
      <c r="S661" s="32"/>
      <c r="T661" s="32"/>
      <c r="U661" s="32"/>
      <c r="V661" s="32"/>
      <c r="W661" s="32"/>
      <c r="X661" s="32"/>
      <c r="Y661" s="25"/>
      <c r="Z661" s="32"/>
      <c r="AA661" s="25"/>
      <c r="AB661" s="32"/>
      <c r="AC661" s="25"/>
      <c r="AD661" s="32"/>
      <c r="AE661" s="25"/>
      <c r="AF661" s="32"/>
      <c r="AG661" s="25"/>
    </row>
    <row r="664" spans="2:33" ht="26">
      <c r="B664" s="5" t="s">
        <v>198</v>
      </c>
      <c r="S664" s="5">
        <v>0</v>
      </c>
    </row>
    <row r="666" spans="2:33" ht="26">
      <c r="B666" s="5" t="s">
        <v>179</v>
      </c>
      <c r="O666" s="7" t="s">
        <v>284</v>
      </c>
      <c r="Q666" s="7" t="s">
        <v>296</v>
      </c>
      <c r="S666" s="5" t="s">
        <v>200</v>
      </c>
      <c r="AE666" s="7" t="s">
        <v>284</v>
      </c>
      <c r="AG666" s="7" t="s">
        <v>296</v>
      </c>
    </row>
    <row r="667" spans="2:33" ht="6.75" customHeight="1">
      <c r="B667" s="43"/>
      <c r="C667" s="32"/>
      <c r="D667" s="32"/>
      <c r="E667" s="32"/>
      <c r="F667" s="32"/>
      <c r="G667" s="32"/>
      <c r="H667" s="32"/>
      <c r="I667" s="25"/>
      <c r="J667" s="32"/>
      <c r="K667" s="25"/>
      <c r="L667" s="32"/>
      <c r="M667" s="25"/>
      <c r="N667" s="32"/>
      <c r="O667" s="25"/>
      <c r="P667" s="32"/>
      <c r="Q667" s="25"/>
      <c r="S667" s="43"/>
      <c r="T667" s="32"/>
      <c r="U667" s="32"/>
      <c r="V667" s="32"/>
      <c r="W667" s="32"/>
      <c r="X667" s="32"/>
      <c r="Y667" s="25"/>
      <c r="Z667" s="32"/>
      <c r="AA667" s="25"/>
      <c r="AB667" s="32"/>
      <c r="AC667" s="25"/>
      <c r="AD667" s="32"/>
      <c r="AE667" s="25"/>
      <c r="AF667" s="32"/>
      <c r="AG667" s="25"/>
    </row>
    <row r="668" spans="2:33" ht="17.25" customHeight="1">
      <c r="B668" s="5"/>
      <c r="S668" s="5"/>
    </row>
    <row r="669" spans="2:33" ht="15" thickBot="1">
      <c r="I669" s="33"/>
      <c r="J669" s="34"/>
      <c r="K669" s="33"/>
      <c r="L669" s="34"/>
      <c r="M669" s="35" t="s">
        <v>58</v>
      </c>
      <c r="N669" s="34"/>
      <c r="O669" s="33"/>
      <c r="P669" s="34"/>
      <c r="Q669" s="33"/>
      <c r="Y669" s="33"/>
      <c r="Z669" s="34"/>
      <c r="AA669" s="33"/>
      <c r="AB669" s="34"/>
      <c r="AC669" s="35" t="s">
        <v>59</v>
      </c>
      <c r="AD669" s="34"/>
      <c r="AE669" s="33"/>
      <c r="AF669" s="34"/>
      <c r="AG669" s="33"/>
    </row>
    <row r="670" spans="2:33">
      <c r="B670" s="6" t="s">
        <v>180</v>
      </c>
      <c r="I670" s="8">
        <v>2019</v>
      </c>
      <c r="J670" s="8"/>
      <c r="K670" s="8">
        <v>2020</v>
      </c>
      <c r="L670" s="8"/>
      <c r="M670" s="8">
        <v>2021</v>
      </c>
      <c r="N670" s="8"/>
      <c r="O670" s="8">
        <v>2022</v>
      </c>
      <c r="P670" s="8"/>
      <c r="Q670" s="8">
        <v>2023</v>
      </c>
      <c r="S670" s="6" t="s">
        <v>201</v>
      </c>
      <c r="Y670" s="10">
        <v>43465</v>
      </c>
      <c r="Z670" s="8"/>
      <c r="AA670" s="10">
        <v>43830</v>
      </c>
      <c r="AB670" s="8"/>
      <c r="AC670" s="10">
        <v>44196</v>
      </c>
      <c r="AD670" s="8"/>
      <c r="AE670" s="10">
        <v>44561</v>
      </c>
      <c r="AF670" s="8"/>
      <c r="AG670" s="10">
        <v>44926</v>
      </c>
    </row>
    <row r="672" spans="2:33">
      <c r="C672" t="s">
        <v>86</v>
      </c>
      <c r="I672" s="7">
        <v>652800</v>
      </c>
      <c r="K672" s="7">
        <v>694579.20000000007</v>
      </c>
      <c r="M672" s="7">
        <v>739032.26880000008</v>
      </c>
      <c r="O672" s="7">
        <v>786330.33400320017</v>
      </c>
      <c r="Q672" s="7">
        <v>836655.47537940508</v>
      </c>
      <c r="T672" t="s">
        <v>281</v>
      </c>
      <c r="Y672" s="7">
        <v>1625337.2505333333</v>
      </c>
      <c r="AA672" s="7">
        <v>2278979.3407266666</v>
      </c>
      <c r="AC672" s="7">
        <v>3019666.0334970001</v>
      </c>
      <c r="AE672" s="7">
        <v>3842324.6057917369</v>
      </c>
      <c r="AG672" s="7">
        <v>4753096.076498583</v>
      </c>
    </row>
    <row r="673" spans="2:33">
      <c r="C673" t="s">
        <v>181</v>
      </c>
      <c r="I673" s="7">
        <v>0</v>
      </c>
      <c r="K673" s="7">
        <v>0</v>
      </c>
      <c r="M673" s="7">
        <v>0</v>
      </c>
      <c r="O673" s="7">
        <v>0</v>
      </c>
      <c r="Q673" s="7">
        <v>0</v>
      </c>
      <c r="T673" t="s">
        <v>165</v>
      </c>
      <c r="Y673" s="7">
        <v>0</v>
      </c>
      <c r="AA673" s="7">
        <v>0</v>
      </c>
      <c r="AC673" s="7">
        <v>0</v>
      </c>
      <c r="AE673" s="7">
        <v>0</v>
      </c>
      <c r="AG673" s="7">
        <v>0</v>
      </c>
    </row>
    <row r="674" spans="2:33">
      <c r="C674" t="s">
        <v>110</v>
      </c>
      <c r="I674" s="7">
        <v>0</v>
      </c>
      <c r="K674" s="7">
        <v>0</v>
      </c>
      <c r="M674" s="7">
        <v>0</v>
      </c>
      <c r="O674" s="7">
        <v>0</v>
      </c>
      <c r="Q674" s="7">
        <v>0</v>
      </c>
      <c r="T674" t="s">
        <v>202</v>
      </c>
      <c r="Y674" s="7">
        <v>1725710</v>
      </c>
      <c r="AA674" s="7">
        <v>1725710</v>
      </c>
      <c r="AC674" s="7">
        <v>1725710</v>
      </c>
      <c r="AE674" s="7">
        <v>1725710</v>
      </c>
      <c r="AG674" s="7">
        <v>1725710</v>
      </c>
    </row>
    <row r="675" spans="2:33" ht="15" thickBot="1">
      <c r="C675" t="s">
        <v>125</v>
      </c>
      <c r="I675" s="54">
        <v>0</v>
      </c>
      <c r="K675" s="54">
        <v>0</v>
      </c>
      <c r="M675" s="54">
        <v>0</v>
      </c>
      <c r="O675" s="54">
        <v>0</v>
      </c>
      <c r="Q675" s="54">
        <v>0</v>
      </c>
      <c r="T675" t="s">
        <v>203</v>
      </c>
      <c r="Y675" s="54">
        <v>5000</v>
      </c>
      <c r="AA675" s="54">
        <v>5000</v>
      </c>
      <c r="AC675" s="54">
        <v>5000</v>
      </c>
      <c r="AE675" s="54">
        <v>5000</v>
      </c>
      <c r="AG675" s="54">
        <v>5000</v>
      </c>
    </row>
    <row r="676" spans="2:33" ht="15" thickTop="1"/>
    <row r="677" spans="2:33">
      <c r="C677" t="s">
        <v>182</v>
      </c>
      <c r="I677" s="7">
        <v>652800</v>
      </c>
      <c r="K677" s="7">
        <v>694579.20000000007</v>
      </c>
      <c r="M677" s="7">
        <v>739032.26880000008</v>
      </c>
      <c r="O677" s="7">
        <v>786330.33400320017</v>
      </c>
      <c r="Q677" s="7">
        <v>836655.47537940508</v>
      </c>
      <c r="T677" t="s">
        <v>166</v>
      </c>
      <c r="Y677" s="7">
        <v>3356047.250533333</v>
      </c>
      <c r="AA677" s="7">
        <v>4009689.3407266666</v>
      </c>
      <c r="AC677" s="7">
        <v>4750376.0334970001</v>
      </c>
      <c r="AE677" s="7">
        <v>5573034.6057917364</v>
      </c>
      <c r="AG677" s="7">
        <v>6483806.076498583</v>
      </c>
    </row>
    <row r="679" spans="2:33">
      <c r="B679" s="6" t="s">
        <v>183</v>
      </c>
      <c r="S679" s="6" t="s">
        <v>204</v>
      </c>
    </row>
    <row r="681" spans="2:33">
      <c r="C681" t="s">
        <v>184</v>
      </c>
      <c r="I681" s="7">
        <v>131627.95946666665</v>
      </c>
      <c r="K681" s="7">
        <v>137758.23013333333</v>
      </c>
      <c r="M681" s="7">
        <v>125876.86359999998</v>
      </c>
      <c r="O681" s="7">
        <v>126206.28853333331</v>
      </c>
      <c r="Q681" s="7">
        <v>127459.43186666667</v>
      </c>
      <c r="T681" t="s">
        <v>205</v>
      </c>
      <c r="Y681" s="7">
        <v>279709.41386666661</v>
      </c>
      <c r="AA681" s="7">
        <v>238234.03706666661</v>
      </c>
      <c r="AC681" s="7">
        <v>234678.16013333329</v>
      </c>
      <c r="AE681" s="7">
        <v>229805.2049333333</v>
      </c>
      <c r="AG681" s="7">
        <v>224666.75973333331</v>
      </c>
    </row>
    <row r="682" spans="2:33" ht="15" thickBot="1">
      <c r="C682" t="s">
        <v>185</v>
      </c>
      <c r="I682" s="54">
        <v>29876.413866666611</v>
      </c>
      <c r="K682" s="54">
        <v>-41475.376799999998</v>
      </c>
      <c r="M682" s="54">
        <v>-3555.8769333333184</v>
      </c>
      <c r="O682" s="54">
        <v>-4872.9551999999967</v>
      </c>
      <c r="Q682" s="54">
        <v>-5138.4451999999874</v>
      </c>
      <c r="T682" t="s">
        <v>206</v>
      </c>
      <c r="Y682" s="54">
        <v>420078</v>
      </c>
      <c r="AA682" s="54">
        <v>420078</v>
      </c>
      <c r="AC682" s="54">
        <v>420078</v>
      </c>
      <c r="AE682" s="54">
        <v>420078</v>
      </c>
      <c r="AG682" s="54">
        <v>420078</v>
      </c>
    </row>
    <row r="683" spans="2:33" ht="15" thickTop="1"/>
    <row r="684" spans="2:33">
      <c r="C684" t="s">
        <v>186</v>
      </c>
      <c r="I684" s="7">
        <v>161504.37333333326</v>
      </c>
      <c r="K684" s="7">
        <v>96282.853333333333</v>
      </c>
      <c r="M684" s="7">
        <v>122320.98666666666</v>
      </c>
      <c r="O684" s="7">
        <v>121333.33333333331</v>
      </c>
      <c r="Q684" s="7">
        <v>122320.98666666668</v>
      </c>
      <c r="T684" t="s">
        <v>167</v>
      </c>
      <c r="Y684" s="7">
        <v>699787.41386666661</v>
      </c>
      <c r="AA684" s="7">
        <v>658312.03706666664</v>
      </c>
      <c r="AC684" s="7">
        <v>654756.16013333329</v>
      </c>
      <c r="AE684" s="7">
        <v>649883.20493333333</v>
      </c>
      <c r="AG684" s="7">
        <v>644744.75973333325</v>
      </c>
    </row>
    <row r="686" spans="2:33">
      <c r="C686" t="s">
        <v>164</v>
      </c>
      <c r="I686" s="7">
        <v>491295.62666666671</v>
      </c>
      <c r="K686" s="7">
        <v>598296.34666666668</v>
      </c>
      <c r="M686" s="7">
        <v>616711.28213333338</v>
      </c>
      <c r="O686" s="7">
        <v>664997.0006698668</v>
      </c>
      <c r="Q686" s="7">
        <v>714334.48871273838</v>
      </c>
      <c r="S686" s="6" t="s">
        <v>169</v>
      </c>
      <c r="Y686" s="7">
        <v>2656259.8366666664</v>
      </c>
      <c r="AA686" s="7">
        <v>3351377.3036599997</v>
      </c>
      <c r="AC686" s="7">
        <v>4095619.8733636667</v>
      </c>
      <c r="AE686" s="7">
        <v>4923151.4008584032</v>
      </c>
      <c r="AG686" s="7">
        <v>5839061.3167652497</v>
      </c>
    </row>
    <row r="687" spans="2:33">
      <c r="S687" s="6"/>
    </row>
    <row r="688" spans="2:33" ht="6.75" customHeight="1">
      <c r="S688" s="32"/>
      <c r="T688" s="32"/>
      <c r="U688" s="32"/>
      <c r="V688" s="32"/>
      <c r="W688" s="32"/>
      <c r="X688" s="32"/>
      <c r="Y688" s="25"/>
      <c r="Z688" s="32"/>
      <c r="AA688" s="25"/>
      <c r="AB688" s="32"/>
      <c r="AC688" s="25"/>
      <c r="AD688" s="32"/>
      <c r="AE688" s="25"/>
      <c r="AF688" s="32"/>
      <c r="AG688" s="25"/>
    </row>
    <row r="689" spans="2:33" ht="26">
      <c r="C689" t="s">
        <v>163</v>
      </c>
      <c r="S689" s="23" t="s">
        <v>53</v>
      </c>
      <c r="X689" s="5"/>
      <c r="Y689"/>
      <c r="AA689"/>
      <c r="AC689"/>
      <c r="AE689" t="s">
        <v>284</v>
      </c>
      <c r="AG689" t="s">
        <v>296</v>
      </c>
    </row>
    <row r="690" spans="2:33" ht="15.75" customHeight="1">
      <c r="D690" t="s">
        <v>187</v>
      </c>
      <c r="I690" s="7">
        <v>63816.740000000005</v>
      </c>
      <c r="K690" s="7">
        <v>65731.242200000008</v>
      </c>
      <c r="M690" s="7">
        <v>67703.179466000016</v>
      </c>
      <c r="O690" s="7">
        <v>69734.274849980022</v>
      </c>
      <c r="Q690" s="7">
        <v>71826.303095479423</v>
      </c>
      <c r="S690" s="5"/>
    </row>
    <row r="691" spans="2:33" ht="15" thickBot="1">
      <c r="D691" t="s">
        <v>188</v>
      </c>
      <c r="I691" s="7">
        <v>0</v>
      </c>
      <c r="K691" s="7">
        <v>0</v>
      </c>
      <c r="M691" s="7">
        <v>0</v>
      </c>
      <c r="O691" s="7">
        <v>0</v>
      </c>
      <c r="Q691" s="7">
        <v>0</v>
      </c>
      <c r="Y691" s="33"/>
      <c r="Z691" s="34"/>
      <c r="AA691" s="33"/>
      <c r="AB691" s="34"/>
      <c r="AC691" s="35" t="s">
        <v>59</v>
      </c>
      <c r="AD691" s="34"/>
      <c r="AE691" s="33"/>
      <c r="AF691" s="34"/>
      <c r="AG691" s="33"/>
    </row>
    <row r="692" spans="2:33">
      <c r="D692" t="s">
        <v>189</v>
      </c>
      <c r="I692" s="7">
        <v>0</v>
      </c>
      <c r="K692" s="7">
        <v>0</v>
      </c>
      <c r="M692" s="7">
        <v>0</v>
      </c>
      <c r="O692" s="7">
        <v>0</v>
      </c>
      <c r="Q692" s="7">
        <v>0</v>
      </c>
      <c r="S692" s="22" t="s">
        <v>74</v>
      </c>
      <c r="Y692" s="10">
        <v>43465</v>
      </c>
      <c r="Z692" s="8"/>
      <c r="AA692" s="10">
        <v>43830</v>
      </c>
      <c r="AB692" s="8"/>
      <c r="AC692" s="10">
        <v>44196</v>
      </c>
      <c r="AD692" s="8"/>
      <c r="AE692" s="10">
        <v>44561</v>
      </c>
      <c r="AF692" s="8"/>
      <c r="AG692" s="10">
        <v>44926</v>
      </c>
    </row>
    <row r="693" spans="2:33">
      <c r="D693" t="s">
        <v>190</v>
      </c>
      <c r="I693" s="7">
        <v>0</v>
      </c>
      <c r="K693" s="7">
        <v>0</v>
      </c>
      <c r="M693" s="7">
        <v>0</v>
      </c>
      <c r="O693" s="7">
        <v>0</v>
      </c>
      <c r="Q693" s="7">
        <v>0</v>
      </c>
      <c r="Y693"/>
      <c r="AA693"/>
      <c r="AC693"/>
      <c r="AE693"/>
      <c r="AG693"/>
    </row>
    <row r="694" spans="2:33">
      <c r="D694" t="s">
        <v>111</v>
      </c>
      <c r="I694" s="7">
        <v>5000</v>
      </c>
      <c r="K694" s="7">
        <v>5000</v>
      </c>
      <c r="M694" s="7">
        <v>5000</v>
      </c>
      <c r="O694" s="7">
        <v>5000</v>
      </c>
      <c r="Q694" s="7">
        <v>5000</v>
      </c>
      <c r="S694" t="s">
        <v>115</v>
      </c>
      <c r="Y694" s="94">
        <v>0.24575908990108325</v>
      </c>
      <c r="AA694" s="94">
        <v>0.20725186604368845</v>
      </c>
      <c r="AC694" s="94">
        <v>0.18044454603963156</v>
      </c>
      <c r="AE694" s="94">
        <v>0.15972093278831426</v>
      </c>
      <c r="AG694" s="94">
        <v>0.14328595470939487</v>
      </c>
    </row>
    <row r="695" spans="2:33" ht="15" thickBot="1">
      <c r="D695" t="s">
        <v>191</v>
      </c>
      <c r="I695" s="54">
        <v>0</v>
      </c>
      <c r="K695" s="54">
        <v>0</v>
      </c>
      <c r="M695" s="54">
        <v>0</v>
      </c>
      <c r="O695" s="54">
        <v>0</v>
      </c>
      <c r="Q695" s="54">
        <v>0</v>
      </c>
      <c r="S695" t="s">
        <v>116</v>
      </c>
      <c r="Y695" s="94">
        <v>0.24575908990108325</v>
      </c>
      <c r="AA695" s="94">
        <v>0.20725186604368845</v>
      </c>
      <c r="AC695" s="94">
        <v>0.18044454603963156</v>
      </c>
      <c r="AE695" s="94">
        <v>0.15972093278831426</v>
      </c>
      <c r="AG695" s="94">
        <v>0.14328595470939487</v>
      </c>
    </row>
    <row r="696" spans="2:33" ht="15" thickTop="1">
      <c r="S696" t="s">
        <v>242</v>
      </c>
      <c r="Y696" s="94">
        <v>9.4117298522167298E-2</v>
      </c>
      <c r="AA696" s="94">
        <v>7.4596196532983008E-2</v>
      </c>
      <c r="AC696" s="94">
        <v>6.1040821104005195E-2</v>
      </c>
      <c r="AE696" s="94">
        <v>5.0780481777669861E-2</v>
      </c>
      <c r="AG696" s="94">
        <v>4.2815100996147125E-2</v>
      </c>
    </row>
    <row r="697" spans="2:33">
      <c r="D697" t="s">
        <v>192</v>
      </c>
      <c r="I697" s="7">
        <v>68816.740000000005</v>
      </c>
      <c r="K697" s="7">
        <v>70731.242200000008</v>
      </c>
      <c r="M697" s="7">
        <v>72703.179466000016</v>
      </c>
      <c r="O697" s="7">
        <v>74734.274849980022</v>
      </c>
      <c r="Q697" s="7">
        <v>76826.303095479423</v>
      </c>
      <c r="S697" t="s">
        <v>48</v>
      </c>
      <c r="Y697" s="94">
        <v>8.0985013678530199E-2</v>
      </c>
      <c r="AA697" s="94">
        <v>6.0447336082216641E-2</v>
      </c>
      <c r="AC697" s="94">
        <v>4.1685690471613218E-2</v>
      </c>
      <c r="AE697" s="94">
        <v>3.2846336913621502E-2</v>
      </c>
      <c r="AG697" s="94">
        <v>2.6816085729232927E-2</v>
      </c>
    </row>
    <row r="698" spans="2:33">
      <c r="S698" t="s">
        <v>207</v>
      </c>
      <c r="Y698" s="97">
        <v>7465</v>
      </c>
      <c r="AA698" s="7">
        <v>41779.20000000007</v>
      </c>
      <c r="AC698" s="7">
        <v>44453.068800000008</v>
      </c>
      <c r="AE698" s="7">
        <v>47298.065203200094</v>
      </c>
      <c r="AG698" s="7">
        <v>50325.141376204905</v>
      </c>
    </row>
    <row r="699" spans="2:33">
      <c r="C699" t="s">
        <v>193</v>
      </c>
      <c r="I699" s="7">
        <v>422478.88666666672</v>
      </c>
      <c r="K699" s="7">
        <v>527565.1044666667</v>
      </c>
      <c r="M699" s="7">
        <v>544008.10266733333</v>
      </c>
      <c r="O699" s="7">
        <v>590262.72581988678</v>
      </c>
      <c r="Q699" s="7">
        <v>637508.18561725901</v>
      </c>
      <c r="S699" t="s">
        <v>118</v>
      </c>
      <c r="Y699" s="97">
        <v>560511.83666666644</v>
      </c>
      <c r="AA699" s="7">
        <v>695117.46699333331</v>
      </c>
      <c r="AC699" s="7">
        <v>744242.56970366696</v>
      </c>
      <c r="AE699" s="7">
        <v>827531.52749473648</v>
      </c>
      <c r="AG699" s="7">
        <v>915909.91590684652</v>
      </c>
    </row>
    <row r="700" spans="2:33">
      <c r="S700" t="s">
        <v>119</v>
      </c>
      <c r="Y700" s="94">
        <v>1.124754945064352E-2</v>
      </c>
      <c r="AA700" s="94">
        <v>-1.5614201678419887E-2</v>
      </c>
      <c r="AC700" s="94">
        <v>-1.0610195782641324E-3</v>
      </c>
      <c r="AE700" s="94">
        <v>-1.1897967464441267E-3</v>
      </c>
      <c r="AG700" s="94">
        <v>-1.0437308913766182E-3</v>
      </c>
    </row>
    <row r="701" spans="2:33">
      <c r="B701" s="6" t="s">
        <v>168</v>
      </c>
      <c r="S701" t="s">
        <v>280</v>
      </c>
      <c r="Y701" s="94">
        <v>5.1965153444181574E-2</v>
      </c>
      <c r="AA701" s="94">
        <v>4.999507585841937E-2</v>
      </c>
      <c r="AC701" s="94">
        <v>4.8889905124882595E-2</v>
      </c>
      <c r="AE701" s="94">
        <v>4.8194496239437147E-2</v>
      </c>
      <c r="AG701" s="94">
        <v>4.7679192799403088E-2</v>
      </c>
    </row>
    <row r="702" spans="2:33">
      <c r="S702" t="s">
        <v>124</v>
      </c>
      <c r="Y702" s="94">
        <v>0</v>
      </c>
      <c r="AA702" s="94">
        <v>0</v>
      </c>
      <c r="AC702" s="94">
        <v>0</v>
      </c>
      <c r="AE702" s="94">
        <v>0</v>
      </c>
      <c r="AG702" s="94">
        <v>0</v>
      </c>
    </row>
    <row r="703" spans="2:33">
      <c r="C703" t="s">
        <v>279</v>
      </c>
      <c r="I703" s="7">
        <v>138032.95000000001</v>
      </c>
      <c r="K703" s="7">
        <v>167552.36252666666</v>
      </c>
      <c r="M703" s="7">
        <v>200234.46703633334</v>
      </c>
      <c r="O703" s="7">
        <v>237268.80167485002</v>
      </c>
      <c r="Q703" s="7">
        <v>278401.73028958682</v>
      </c>
      <c r="S703" t="s">
        <v>127</v>
      </c>
      <c r="Y703" s="94">
        <v>1.124754945064352E-2</v>
      </c>
      <c r="AA703" s="94">
        <v>-1.5614201678419887E-2</v>
      </c>
      <c r="AC703" s="94">
        <v>-1.0610195782641324E-3</v>
      </c>
      <c r="AE703" s="94">
        <v>-1.1897967464441267E-3</v>
      </c>
      <c r="AG703" s="94">
        <v>-1.0437308913766182E-3</v>
      </c>
    </row>
    <row r="704" spans="2:33" ht="15" thickBot="1">
      <c r="C704" t="s">
        <v>194</v>
      </c>
      <c r="I704" s="54">
        <v>0</v>
      </c>
      <c r="K704" s="54">
        <v>0</v>
      </c>
      <c r="M704" s="54">
        <v>0</v>
      </c>
      <c r="O704" s="54">
        <v>0</v>
      </c>
      <c r="Q704" s="54">
        <v>0</v>
      </c>
      <c r="S704" t="s">
        <v>128</v>
      </c>
      <c r="Y704" s="94">
        <v>0.43054905290396839</v>
      </c>
      <c r="AA704" s="94">
        <v>0.28886266114933706</v>
      </c>
      <c r="AC704" s="94">
        <v>0.21683065374453891</v>
      </c>
      <c r="AE704" s="94">
        <v>0.16913802752472562</v>
      </c>
      <c r="AG704" s="94">
        <v>0.13564732320923148</v>
      </c>
    </row>
    <row r="705" spans="2:33" ht="15" thickTop="1">
      <c r="S705" t="s">
        <v>73</v>
      </c>
      <c r="Y705" s="94">
        <v>0.24740253267973847</v>
      </c>
      <c r="AA705" s="94">
        <v>0.13862040978672169</v>
      </c>
      <c r="AC705" s="94">
        <v>0.16551508212934293</v>
      </c>
      <c r="AE705" s="94">
        <v>0.15430325918577562</v>
      </c>
      <c r="AG705" s="94">
        <v>0.14620233807852243</v>
      </c>
    </row>
    <row r="706" spans="2:33">
      <c r="C706" t="s">
        <v>195</v>
      </c>
      <c r="I706" s="7">
        <v>138032.95000000001</v>
      </c>
      <c r="K706" s="7">
        <v>167552.36252666666</v>
      </c>
      <c r="M706" s="7">
        <v>200234.46703633334</v>
      </c>
      <c r="O706" s="7">
        <v>237268.80167485002</v>
      </c>
      <c r="Q706" s="7">
        <v>278401.73028958682</v>
      </c>
      <c r="S706" t="s">
        <v>132</v>
      </c>
      <c r="Y706" s="94">
        <v>0.10541780024509805</v>
      </c>
      <c r="AA706" s="94">
        <v>0.1018332282337277</v>
      </c>
      <c r="AC706" s="94">
        <v>9.8376190777232822E-2</v>
      </c>
      <c r="AE706" s="94">
        <v>9.5041831172286775E-2</v>
      </c>
      <c r="AG706" s="94">
        <v>9.1825494909526961E-2</v>
      </c>
    </row>
    <row r="707" spans="2:33">
      <c r="S707" t="s">
        <v>134</v>
      </c>
      <c r="Y707" s="94">
        <v>0</v>
      </c>
      <c r="AA707" s="94">
        <v>0</v>
      </c>
      <c r="AC707" s="94">
        <v>0</v>
      </c>
      <c r="AE707" s="94">
        <v>0</v>
      </c>
      <c r="AG707" s="94">
        <v>0</v>
      </c>
    </row>
    <row r="708" spans="2:33">
      <c r="B708" s="6" t="s">
        <v>112</v>
      </c>
      <c r="I708" s="7">
        <v>560511.83666666667</v>
      </c>
      <c r="K708" s="7">
        <v>695117.46699333331</v>
      </c>
      <c r="M708" s="7">
        <v>744242.56970366673</v>
      </c>
      <c r="O708" s="7">
        <v>827531.52749473683</v>
      </c>
      <c r="Q708" s="7">
        <v>915909.91590684582</v>
      </c>
      <c r="S708" t="s">
        <v>135</v>
      </c>
      <c r="Y708" s="94">
        <v>0.45823813316993456</v>
      </c>
      <c r="AA708" s="94">
        <v>0.34228686625417709</v>
      </c>
      <c r="AC708" s="94">
        <v>0.36226746368380858</v>
      </c>
      <c r="AE708" s="94">
        <v>0.34438692153034917</v>
      </c>
      <c r="AG708" s="94">
        <v>0.32985332789757638</v>
      </c>
    </row>
    <row r="709" spans="2:33">
      <c r="B709" s="6"/>
      <c r="S709" t="s">
        <v>47</v>
      </c>
      <c r="Y709" s="94">
        <v>0.21144753370098041</v>
      </c>
      <c r="AA709" s="94">
        <v>0.2412285921125577</v>
      </c>
      <c r="AC709" s="94">
        <v>0.27094143989336628</v>
      </c>
      <c r="AE709" s="94">
        <v>0.30174189067197349</v>
      </c>
      <c r="AG709" s="94">
        <v>0.33275552301063671</v>
      </c>
    </row>
    <row r="710" spans="2:33">
      <c r="B710" s="6" t="s">
        <v>196</v>
      </c>
      <c r="I710" s="7">
        <v>0</v>
      </c>
      <c r="K710" s="7">
        <v>0</v>
      </c>
      <c r="M710" s="7">
        <v>0</v>
      </c>
      <c r="O710" s="7">
        <v>0</v>
      </c>
      <c r="Q710" s="7">
        <v>0</v>
      </c>
      <c r="S710" t="s">
        <v>114</v>
      </c>
      <c r="Y710" s="94">
        <v>0.24679059946895415</v>
      </c>
      <c r="AA710" s="94">
        <v>0.10105827414161939</v>
      </c>
      <c r="AC710" s="94">
        <v>9.1326023790442301E-2</v>
      </c>
      <c r="AE710" s="94">
        <v>4.2645030858375677E-2</v>
      </c>
      <c r="AG710" s="94">
        <v>-2.9021951130603352E-3</v>
      </c>
    </row>
    <row r="711" spans="2:33">
      <c r="B711" s="6"/>
      <c r="S711" t="s">
        <v>38</v>
      </c>
      <c r="Y711" s="94">
        <v>4.7958096759550672</v>
      </c>
      <c r="AA711" s="94">
        <v>6.0908643849096276</v>
      </c>
      <c r="AC711" s="94">
        <v>7.2551834144326994</v>
      </c>
      <c r="AE711" s="94">
        <v>8.5754402690917857</v>
      </c>
      <c r="AG711" s="94">
        <v>10.05639205067799</v>
      </c>
    </row>
    <row r="712" spans="2:33">
      <c r="B712" s="6" t="s">
        <v>113</v>
      </c>
      <c r="I712" s="7">
        <v>0</v>
      </c>
      <c r="K712" s="7">
        <v>0</v>
      </c>
      <c r="M712" s="7">
        <v>0</v>
      </c>
      <c r="O712" s="7">
        <v>0</v>
      </c>
      <c r="Q712" s="7">
        <v>0</v>
      </c>
      <c r="S712" t="s">
        <v>39</v>
      </c>
      <c r="Y712" s="7">
        <v>452355.30053333333</v>
      </c>
      <c r="AA712" s="7">
        <v>486089.72766666673</v>
      </c>
      <c r="AC712" s="7">
        <v>540452.22573400009</v>
      </c>
      <c r="AE712" s="7">
        <v>585389.77061988681</v>
      </c>
      <c r="AG712" s="7">
        <v>632369.74041725905</v>
      </c>
    </row>
    <row r="713" spans="2:33">
      <c r="B713" s="6"/>
      <c r="S713" t="s">
        <v>44</v>
      </c>
      <c r="Y713" s="7">
        <v>452355.30053333333</v>
      </c>
      <c r="AA713" s="7">
        <v>486089.72766666673</v>
      </c>
      <c r="AC713" s="7">
        <v>540452.22573400009</v>
      </c>
      <c r="AE713" s="7">
        <v>585389.77061988681</v>
      </c>
      <c r="AG713" s="7">
        <v>632369.74041725905</v>
      </c>
    </row>
    <row r="714" spans="2:33">
      <c r="B714" s="6" t="s">
        <v>162</v>
      </c>
      <c r="I714" s="7">
        <v>560511.83666666667</v>
      </c>
      <c r="K714" s="7">
        <v>695117.46699333331</v>
      </c>
      <c r="M714" s="7">
        <v>744242.56970366673</v>
      </c>
      <c r="O714" s="7">
        <v>827531.52749473683</v>
      </c>
      <c r="Q714" s="7">
        <v>915909.91590684582</v>
      </c>
      <c r="S714" t="s">
        <v>51</v>
      </c>
      <c r="Y714" s="94">
        <v>0.85862720077614385</v>
      </c>
      <c r="AA714" s="94">
        <v>1.0007749540921083</v>
      </c>
      <c r="AC714" s="94">
        <v>1.0070501669867904</v>
      </c>
      <c r="AE714" s="94">
        <v>1.052396800313911</v>
      </c>
      <c r="AG714" s="94">
        <v>1.0947276900225873</v>
      </c>
    </row>
    <row r="716" spans="2:33" ht="6.75" customHeight="1">
      <c r="B716" s="32"/>
      <c r="C716" s="32"/>
      <c r="D716" s="32"/>
      <c r="E716" s="32"/>
      <c r="F716" s="32"/>
      <c r="G716" s="32"/>
      <c r="H716" s="32"/>
      <c r="I716" s="25"/>
      <c r="J716" s="32"/>
      <c r="K716" s="25"/>
      <c r="L716" s="32"/>
      <c r="M716" s="25"/>
      <c r="N716" s="32"/>
      <c r="O716" s="25"/>
      <c r="P716" s="32"/>
      <c r="Q716" s="25"/>
      <c r="S716" s="32"/>
      <c r="T716" s="32"/>
      <c r="U716" s="32"/>
      <c r="V716" s="32"/>
      <c r="W716" s="32"/>
      <c r="X716" s="32"/>
      <c r="Y716" s="25"/>
      <c r="Z716" s="32"/>
      <c r="AA716" s="25"/>
      <c r="AB716" s="32"/>
      <c r="AC716" s="25"/>
      <c r="AD716" s="32"/>
      <c r="AE716" s="25"/>
      <c r="AF716" s="32"/>
      <c r="AG716" s="25"/>
    </row>
    <row r="719" spans="2:33" ht="26">
      <c r="B719" s="5" t="s">
        <v>198</v>
      </c>
      <c r="S719" s="5">
        <v>0</v>
      </c>
    </row>
    <row r="721" spans="2:33" ht="26">
      <c r="B721" s="5" t="s">
        <v>179</v>
      </c>
      <c r="O721" s="7" t="s">
        <v>284</v>
      </c>
      <c r="Q721" s="7" t="s">
        <v>297</v>
      </c>
      <c r="S721" s="5" t="s">
        <v>200</v>
      </c>
      <c r="AE721" s="7" t="s">
        <v>284</v>
      </c>
      <c r="AG721" s="7" t="s">
        <v>297</v>
      </c>
    </row>
    <row r="722" spans="2:33" ht="6.75" customHeight="1">
      <c r="B722" s="43"/>
      <c r="C722" s="32"/>
      <c r="D722" s="32"/>
      <c r="E722" s="32"/>
      <c r="F722" s="32"/>
      <c r="G722" s="32"/>
      <c r="H722" s="32"/>
      <c r="I722" s="25"/>
      <c r="J722" s="32"/>
      <c r="K722" s="25"/>
      <c r="L722" s="32"/>
      <c r="M722" s="25"/>
      <c r="N722" s="32"/>
      <c r="O722" s="25"/>
      <c r="P722" s="32"/>
      <c r="Q722" s="25"/>
      <c r="S722" s="43"/>
      <c r="T722" s="32"/>
      <c r="U722" s="32"/>
      <c r="V722" s="32"/>
      <c r="W722" s="32"/>
      <c r="X722" s="32"/>
      <c r="Y722" s="25"/>
      <c r="Z722" s="32"/>
      <c r="AA722" s="25"/>
      <c r="AB722" s="32"/>
      <c r="AC722" s="25"/>
      <c r="AD722" s="32"/>
      <c r="AE722" s="25"/>
      <c r="AF722" s="32"/>
      <c r="AG722" s="25"/>
    </row>
    <row r="723" spans="2:33" ht="17.25" customHeight="1">
      <c r="B723" s="5"/>
      <c r="S723" s="5"/>
    </row>
    <row r="724" spans="2:33" ht="15" thickBot="1">
      <c r="I724" s="33"/>
      <c r="J724" s="34"/>
      <c r="K724" s="33"/>
      <c r="L724" s="34"/>
      <c r="M724" s="35" t="s">
        <v>58</v>
      </c>
      <c r="N724" s="34"/>
      <c r="O724" s="33"/>
      <c r="P724" s="34"/>
      <c r="Q724" s="33"/>
      <c r="Y724" s="33"/>
      <c r="Z724" s="34"/>
      <c r="AA724" s="33"/>
      <c r="AB724" s="34"/>
      <c r="AC724" s="35" t="s">
        <v>59</v>
      </c>
      <c r="AD724" s="34"/>
      <c r="AE724" s="33"/>
      <c r="AF724" s="34"/>
      <c r="AG724" s="33"/>
    </row>
    <row r="725" spans="2:33">
      <c r="B725" s="6" t="s">
        <v>180</v>
      </c>
      <c r="I725" s="8">
        <v>2019</v>
      </c>
      <c r="J725" s="8"/>
      <c r="K725" s="8">
        <v>2020</v>
      </c>
      <c r="L725" s="8"/>
      <c r="M725" s="8">
        <v>2021</v>
      </c>
      <c r="N725" s="8"/>
      <c r="O725" s="8">
        <v>2022</v>
      </c>
      <c r="P725" s="8"/>
      <c r="Q725" s="8">
        <v>2023</v>
      </c>
      <c r="S725" s="6" t="s">
        <v>201</v>
      </c>
      <c r="Y725" s="10">
        <v>43465</v>
      </c>
      <c r="Z725" s="8"/>
      <c r="AA725" s="10">
        <v>43830</v>
      </c>
      <c r="AB725" s="8"/>
      <c r="AC725" s="10">
        <v>44196</v>
      </c>
      <c r="AD725" s="8"/>
      <c r="AE725" s="10">
        <v>44561</v>
      </c>
      <c r="AF725" s="8"/>
      <c r="AG725" s="10">
        <v>44926</v>
      </c>
    </row>
    <row r="727" spans="2:33">
      <c r="C727" t="s">
        <v>86</v>
      </c>
      <c r="I727" s="7">
        <v>652800</v>
      </c>
      <c r="K727" s="7">
        <v>694579.20000000007</v>
      </c>
      <c r="M727" s="7">
        <v>739032.26880000008</v>
      </c>
      <c r="O727" s="7">
        <v>786330.33400320017</v>
      </c>
      <c r="Q727" s="7">
        <v>836655.47537940508</v>
      </c>
      <c r="T727" t="s">
        <v>281</v>
      </c>
      <c r="Y727" s="7">
        <v>1632529.1140000001</v>
      </c>
      <c r="AA727" s="7">
        <v>2275426.3464333336</v>
      </c>
      <c r="AC727" s="7">
        <v>3005852.5045556668</v>
      </c>
      <c r="AE727" s="7">
        <v>3822380.3476033369</v>
      </c>
      <c r="AG727" s="7">
        <v>4728895.8226007624</v>
      </c>
    </row>
    <row r="728" spans="2:33">
      <c r="C728" t="s">
        <v>181</v>
      </c>
      <c r="I728" s="7">
        <v>0</v>
      </c>
      <c r="K728" s="7">
        <v>0</v>
      </c>
      <c r="M728" s="7">
        <v>0</v>
      </c>
      <c r="O728" s="7">
        <v>0</v>
      </c>
      <c r="Q728" s="7">
        <v>0</v>
      </c>
      <c r="T728" t="s">
        <v>165</v>
      </c>
      <c r="Y728" s="7">
        <v>0</v>
      </c>
      <c r="AA728" s="7">
        <v>0</v>
      </c>
      <c r="AC728" s="7">
        <v>0</v>
      </c>
      <c r="AE728" s="7">
        <v>0</v>
      </c>
      <c r="AG728" s="7">
        <v>0</v>
      </c>
    </row>
    <row r="729" spans="2:33">
      <c r="C729" t="s">
        <v>110</v>
      </c>
      <c r="I729" s="7">
        <v>0</v>
      </c>
      <c r="K729" s="7">
        <v>0</v>
      </c>
      <c r="M729" s="7">
        <v>0</v>
      </c>
      <c r="O729" s="7">
        <v>0</v>
      </c>
      <c r="Q729" s="7">
        <v>0</v>
      </c>
      <c r="T729" t="s">
        <v>202</v>
      </c>
      <c r="Y729" s="7">
        <v>1725710</v>
      </c>
      <c r="AA729" s="7">
        <v>1725710</v>
      </c>
      <c r="AC729" s="7">
        <v>1725710</v>
      </c>
      <c r="AE729" s="7">
        <v>1725710</v>
      </c>
      <c r="AG729" s="7">
        <v>1725710</v>
      </c>
    </row>
    <row r="730" spans="2:33" ht="15" thickBot="1">
      <c r="C730" t="s">
        <v>125</v>
      </c>
      <c r="I730" s="54">
        <v>0</v>
      </c>
      <c r="K730" s="54">
        <v>0</v>
      </c>
      <c r="M730" s="54">
        <v>0</v>
      </c>
      <c r="O730" s="54">
        <v>0</v>
      </c>
      <c r="Q730" s="54">
        <v>0</v>
      </c>
      <c r="T730" t="s">
        <v>203</v>
      </c>
      <c r="Y730" s="54">
        <v>5000</v>
      </c>
      <c r="AA730" s="54">
        <v>5000</v>
      </c>
      <c r="AC730" s="54">
        <v>5000</v>
      </c>
      <c r="AE730" s="54">
        <v>5000</v>
      </c>
      <c r="AG730" s="54">
        <v>5000</v>
      </c>
    </row>
    <row r="731" spans="2:33" ht="15" thickTop="1"/>
    <row r="732" spans="2:33">
      <c r="C732" t="s">
        <v>182</v>
      </c>
      <c r="I732" s="7">
        <v>652800</v>
      </c>
      <c r="K732" s="7">
        <v>694579.20000000007</v>
      </c>
      <c r="M732" s="7">
        <v>739032.26880000008</v>
      </c>
      <c r="O732" s="7">
        <v>786330.33400320017</v>
      </c>
      <c r="Q732" s="7">
        <v>836655.47537940508</v>
      </c>
      <c r="T732" t="s">
        <v>166</v>
      </c>
      <c r="Y732" s="7">
        <v>3363239.1140000001</v>
      </c>
      <c r="AA732" s="7">
        <v>4006136.3464333336</v>
      </c>
      <c r="AC732" s="7">
        <v>4736562.5045556668</v>
      </c>
      <c r="AE732" s="7">
        <v>5553090.3476033369</v>
      </c>
      <c r="AG732" s="7">
        <v>6459605.8226007624</v>
      </c>
    </row>
    <row r="734" spans="2:33">
      <c r="B734" s="6" t="s">
        <v>183</v>
      </c>
      <c r="S734" s="6" t="s">
        <v>204</v>
      </c>
    </row>
    <row r="736" spans="2:33">
      <c r="C736" t="s">
        <v>184</v>
      </c>
      <c r="I736" s="7">
        <v>124436.09600000001</v>
      </c>
      <c r="K736" s="7">
        <v>148862.68106666664</v>
      </c>
      <c r="M736" s="7">
        <v>135959.74853333333</v>
      </c>
      <c r="O736" s="7">
        <v>131646.34133333332</v>
      </c>
      <c r="Q736" s="7">
        <v>130718.21466666664</v>
      </c>
      <c r="T736" t="s">
        <v>205</v>
      </c>
      <c r="Y736" s="7">
        <v>264426.70399999997</v>
      </c>
      <c r="AA736" s="7">
        <v>264808.87626666669</v>
      </c>
      <c r="AC736" s="7">
        <v>250182.46106666667</v>
      </c>
      <c r="AE736" s="7">
        <v>239869.4530666667</v>
      </c>
      <c r="AG736" s="7">
        <v>230484.57173333335</v>
      </c>
    </row>
    <row r="737" spans="3:33" ht="15" thickBot="1">
      <c r="C737" t="s">
        <v>185</v>
      </c>
      <c r="I737" s="54">
        <v>14593.703999999969</v>
      </c>
      <c r="K737" s="54">
        <v>382.17226666671922</v>
      </c>
      <c r="M737" s="54">
        <v>-14626.415200000018</v>
      </c>
      <c r="O737" s="54">
        <v>-10313.007999999973</v>
      </c>
      <c r="Q737" s="54">
        <v>-9384.8813333333528</v>
      </c>
      <c r="T737" t="s">
        <v>206</v>
      </c>
      <c r="Y737" s="54">
        <v>420078</v>
      </c>
      <c r="AA737" s="54">
        <v>420078</v>
      </c>
      <c r="AC737" s="54">
        <v>420078</v>
      </c>
      <c r="AE737" s="54">
        <v>420078</v>
      </c>
      <c r="AG737" s="54">
        <v>420078</v>
      </c>
    </row>
    <row r="738" spans="3:33" ht="15" thickTop="1"/>
    <row r="739" spans="3:33">
      <c r="C739" t="s">
        <v>186</v>
      </c>
      <c r="I739" s="7">
        <v>139029.79999999999</v>
      </c>
      <c r="K739" s="7">
        <v>149244.85333333336</v>
      </c>
      <c r="M739" s="7">
        <v>121333.33333333331</v>
      </c>
      <c r="O739" s="7">
        <v>121333.33333333334</v>
      </c>
      <c r="Q739" s="7">
        <v>121333.33333333328</v>
      </c>
      <c r="T739" t="s">
        <v>167</v>
      </c>
      <c r="Y739" s="7">
        <v>684504.70399999991</v>
      </c>
      <c r="AA739" s="7">
        <v>684886.87626666669</v>
      </c>
      <c r="AC739" s="7">
        <v>670260.46106666664</v>
      </c>
      <c r="AE739" s="7">
        <v>659947.45306666673</v>
      </c>
      <c r="AG739" s="7">
        <v>650562.5717333334</v>
      </c>
    </row>
    <row r="741" spans="3:33">
      <c r="C741" t="s">
        <v>164</v>
      </c>
      <c r="I741" s="7">
        <v>513770.2</v>
      </c>
      <c r="K741" s="7">
        <v>545334.34666666668</v>
      </c>
      <c r="M741" s="7">
        <v>617698.93546666671</v>
      </c>
      <c r="O741" s="7">
        <v>664997.0006698668</v>
      </c>
      <c r="Q741" s="7">
        <v>715322.14204607182</v>
      </c>
      <c r="S741" s="6" t="s">
        <v>169</v>
      </c>
      <c r="Y741" s="7">
        <v>2678734.41</v>
      </c>
      <c r="AA741" s="7">
        <v>3321249.4701666669</v>
      </c>
      <c r="AC741" s="7">
        <v>4066302.0434890003</v>
      </c>
      <c r="AE741" s="7">
        <v>4893142.8945366703</v>
      </c>
      <c r="AG741" s="7">
        <v>5809043.2508674292</v>
      </c>
    </row>
    <row r="742" spans="3:33">
      <c r="S742" s="6"/>
    </row>
    <row r="743" spans="3:33" ht="6.75" customHeight="1">
      <c r="S743" s="32"/>
      <c r="T743" s="32"/>
      <c r="U743" s="32"/>
      <c r="V743" s="32"/>
      <c r="W743" s="32"/>
      <c r="X743" s="32"/>
      <c r="Y743" s="25"/>
      <c r="Z743" s="32"/>
      <c r="AA743" s="25"/>
      <c r="AB743" s="32"/>
      <c r="AC743" s="25"/>
      <c r="AD743" s="32"/>
      <c r="AE743" s="25"/>
      <c r="AF743" s="32"/>
      <c r="AG743" s="25"/>
    </row>
    <row r="744" spans="3:33" ht="26">
      <c r="C744" t="s">
        <v>163</v>
      </c>
      <c r="S744" s="23" t="s">
        <v>53</v>
      </c>
      <c r="X744" s="5"/>
      <c r="Y744"/>
      <c r="AA744"/>
      <c r="AC744"/>
      <c r="AE744" t="s">
        <v>284</v>
      </c>
      <c r="AG744" t="s">
        <v>297</v>
      </c>
    </row>
    <row r="745" spans="3:33" ht="15.75" customHeight="1">
      <c r="D745" t="s">
        <v>187</v>
      </c>
      <c r="I745" s="7">
        <v>63816.740000000005</v>
      </c>
      <c r="K745" s="7">
        <v>65731.242200000008</v>
      </c>
      <c r="M745" s="7">
        <v>67703.179466000016</v>
      </c>
      <c r="O745" s="7">
        <v>69734.274849980022</v>
      </c>
      <c r="Q745" s="7">
        <v>71826.303095479423</v>
      </c>
      <c r="S745" s="5"/>
    </row>
    <row r="746" spans="3:33" ht="15" thickBot="1">
      <c r="D746" t="s">
        <v>188</v>
      </c>
      <c r="I746" s="7">
        <v>0</v>
      </c>
      <c r="K746" s="7">
        <v>0</v>
      </c>
      <c r="M746" s="7">
        <v>0</v>
      </c>
      <c r="O746" s="7">
        <v>0</v>
      </c>
      <c r="Q746" s="7">
        <v>0</v>
      </c>
      <c r="Y746" s="33"/>
      <c r="Z746" s="34"/>
      <c r="AA746" s="33"/>
      <c r="AB746" s="34"/>
      <c r="AC746" s="35" t="s">
        <v>59</v>
      </c>
      <c r="AD746" s="34"/>
      <c r="AE746" s="33"/>
      <c r="AF746" s="34"/>
      <c r="AG746" s="33"/>
    </row>
    <row r="747" spans="3:33">
      <c r="D747" t="s">
        <v>189</v>
      </c>
      <c r="I747" s="7">
        <v>0</v>
      </c>
      <c r="K747" s="7">
        <v>0</v>
      </c>
      <c r="M747" s="7">
        <v>0</v>
      </c>
      <c r="O747" s="7">
        <v>0</v>
      </c>
      <c r="Q747" s="7">
        <v>0</v>
      </c>
      <c r="S747" s="22" t="s">
        <v>74</v>
      </c>
      <c r="Y747" s="10">
        <v>43465</v>
      </c>
      <c r="Z747" s="8"/>
      <c r="AA747" s="10">
        <v>43830</v>
      </c>
      <c r="AB747" s="8"/>
      <c r="AC747" s="10">
        <v>44196</v>
      </c>
      <c r="AD747" s="8"/>
      <c r="AE747" s="10">
        <v>44561</v>
      </c>
      <c r="AF747" s="8"/>
      <c r="AG747" s="10">
        <v>44926</v>
      </c>
    </row>
    <row r="748" spans="3:33">
      <c r="D748" t="s">
        <v>190</v>
      </c>
      <c r="I748" s="7">
        <v>0</v>
      </c>
      <c r="K748" s="7">
        <v>0</v>
      </c>
      <c r="M748" s="7">
        <v>0</v>
      </c>
      <c r="O748" s="7">
        <v>0</v>
      </c>
      <c r="Q748" s="7">
        <v>0</v>
      </c>
      <c r="Y748"/>
      <c r="AA748"/>
      <c r="AC748"/>
      <c r="AE748"/>
      <c r="AG748"/>
    </row>
    <row r="749" spans="3:33">
      <c r="D749" t="s">
        <v>111</v>
      </c>
      <c r="I749" s="7">
        <v>5000</v>
      </c>
      <c r="K749" s="7">
        <v>5000</v>
      </c>
      <c r="M749" s="7">
        <v>5000</v>
      </c>
      <c r="O749" s="7">
        <v>5000</v>
      </c>
      <c r="Q749" s="7">
        <v>5000</v>
      </c>
      <c r="S749" t="s">
        <v>115</v>
      </c>
      <c r="Y749" s="94">
        <v>0.24369717190439943</v>
      </c>
      <c r="AA749" s="94">
        <v>0.20913189636584112</v>
      </c>
      <c r="AC749" s="94">
        <v>0.18174554199271675</v>
      </c>
      <c r="AE749" s="94">
        <v>0.16070046408846139</v>
      </c>
      <c r="AG749" s="94">
        <v>0.14402638080797081</v>
      </c>
    </row>
    <row r="750" spans="3:33" ht="15" thickBot="1">
      <c r="D750" t="s">
        <v>191</v>
      </c>
      <c r="I750" s="54">
        <v>0</v>
      </c>
      <c r="K750" s="54">
        <v>0</v>
      </c>
      <c r="M750" s="54">
        <v>0</v>
      </c>
      <c r="O750" s="54">
        <v>0</v>
      </c>
      <c r="Q750" s="54">
        <v>0</v>
      </c>
      <c r="S750" t="s">
        <v>116</v>
      </c>
      <c r="Y750" s="94">
        <v>0.24369717190439943</v>
      </c>
      <c r="AA750" s="94">
        <v>0.20913189636584112</v>
      </c>
      <c r="AC750" s="94">
        <v>0.18174554199271675</v>
      </c>
      <c r="AE750" s="94">
        <v>0.16070046408846139</v>
      </c>
      <c r="AG750" s="94">
        <v>0.14402638080797081</v>
      </c>
    </row>
    <row r="751" spans="3:33" ht="15" thickTop="1">
      <c r="S751" t="s">
        <v>242</v>
      </c>
      <c r="Y751" s="94">
        <v>9.3327654681525513E-2</v>
      </c>
      <c r="AA751" s="94">
        <v>7.5272876140633452E-2</v>
      </c>
      <c r="AC751" s="94">
        <v>6.1480922303915483E-2</v>
      </c>
      <c r="AE751" s="94">
        <v>5.1091906651475873E-2</v>
      </c>
      <c r="AG751" s="94">
        <v>4.3036346813680376E-2</v>
      </c>
    </row>
    <row r="752" spans="3:33">
      <c r="D752" t="s">
        <v>192</v>
      </c>
      <c r="I752" s="7">
        <v>68816.740000000005</v>
      </c>
      <c r="K752" s="7">
        <v>70731.242200000008</v>
      </c>
      <c r="M752" s="7">
        <v>72703.179466000016</v>
      </c>
      <c r="O752" s="7">
        <v>74734.274849980022</v>
      </c>
      <c r="Q752" s="7">
        <v>76826.303095479423</v>
      </c>
      <c r="S752" t="s">
        <v>48</v>
      </c>
      <c r="Y752" s="94">
        <v>7.6222895465005477E-2</v>
      </c>
      <c r="AA752" s="94">
        <v>6.5421885133748525E-2</v>
      </c>
      <c r="AC752" s="94">
        <v>4.5231676646566285E-2</v>
      </c>
      <c r="AE752" s="94">
        <v>3.4440931922401871E-2</v>
      </c>
      <c r="AG752" s="94">
        <v>2.7642439074662302E-2</v>
      </c>
    </row>
    <row r="753" spans="2:33">
      <c r="S753" t="s">
        <v>207</v>
      </c>
      <c r="Y753" s="97">
        <v>7465</v>
      </c>
      <c r="AA753" s="7">
        <v>41779.20000000007</v>
      </c>
      <c r="AC753" s="7">
        <v>44453.068800000008</v>
      </c>
      <c r="AE753" s="7">
        <v>47298.065203200094</v>
      </c>
      <c r="AG753" s="7">
        <v>50325.141376204905</v>
      </c>
    </row>
    <row r="754" spans="2:33">
      <c r="C754" t="s">
        <v>193</v>
      </c>
      <c r="I754" s="7">
        <v>444953.46</v>
      </c>
      <c r="K754" s="7">
        <v>474603.1044666667</v>
      </c>
      <c r="M754" s="7">
        <v>544995.75600066665</v>
      </c>
      <c r="O754" s="7">
        <v>590262.72581988678</v>
      </c>
      <c r="Q754" s="7">
        <v>638495.83895059244</v>
      </c>
      <c r="S754" t="s">
        <v>118</v>
      </c>
      <c r="Y754" s="97">
        <v>582986.41000000015</v>
      </c>
      <c r="AA754" s="7">
        <v>642515.06016666675</v>
      </c>
      <c r="AC754" s="7">
        <v>745052.5733223334</v>
      </c>
      <c r="AE754" s="7">
        <v>826840.85104767</v>
      </c>
      <c r="AG754" s="7">
        <v>915900.35633075889</v>
      </c>
    </row>
    <row r="755" spans="2:33">
      <c r="S755" t="s">
        <v>119</v>
      </c>
      <c r="Y755" s="94">
        <v>5.4479846697455788E-3</v>
      </c>
      <c r="AA755" s="94">
        <v>1.4266896532930982E-4</v>
      </c>
      <c r="AC755" s="94">
        <v>-4.4038893589243193E-3</v>
      </c>
      <c r="AE755" s="94">
        <v>-2.5362129742706285E-3</v>
      </c>
      <c r="AG755" s="94">
        <v>-1.9179659240713843E-3</v>
      </c>
    </row>
    <row r="756" spans="2:33">
      <c r="B756" s="6" t="s">
        <v>168</v>
      </c>
      <c r="S756" t="s">
        <v>280</v>
      </c>
      <c r="Y756" s="94">
        <v>5.1529165969089116E-2</v>
      </c>
      <c r="AA756" s="94">
        <v>5.0556863375750528E-2</v>
      </c>
      <c r="AC756" s="94">
        <v>4.9198710568488013E-2</v>
      </c>
      <c r="AE756" s="94">
        <v>4.8348909959676299E-2</v>
      </c>
      <c r="AG756" s="94">
        <v>4.7753908070617947E-2</v>
      </c>
    </row>
    <row r="757" spans="2:33">
      <c r="S757" t="s">
        <v>124</v>
      </c>
      <c r="Y757" s="94">
        <v>0</v>
      </c>
      <c r="AA757" s="94">
        <v>0</v>
      </c>
      <c r="AC757" s="94">
        <v>0</v>
      </c>
      <c r="AE757" s="94">
        <v>0</v>
      </c>
      <c r="AG757" s="94">
        <v>0</v>
      </c>
    </row>
    <row r="758" spans="2:33">
      <c r="C758" t="s">
        <v>279</v>
      </c>
      <c r="I758" s="7">
        <v>138032.95000000001</v>
      </c>
      <c r="K758" s="7">
        <v>167911.95570000002</v>
      </c>
      <c r="M758" s="7">
        <v>200056.81732166669</v>
      </c>
      <c r="O758" s="7">
        <v>236578.12522778334</v>
      </c>
      <c r="Q758" s="7">
        <v>277404.51738016686</v>
      </c>
      <c r="S758" t="s">
        <v>127</v>
      </c>
      <c r="Y758" s="94">
        <v>5.4479846697455788E-3</v>
      </c>
      <c r="AA758" s="94">
        <v>1.4266896532930982E-4</v>
      </c>
      <c r="AC758" s="94">
        <v>-4.4038893589243193E-3</v>
      </c>
      <c r="AE758" s="94">
        <v>-2.5362129742706285E-3</v>
      </c>
      <c r="AG758" s="94">
        <v>-1.9179659240713843E-3</v>
      </c>
    </row>
    <row r="759" spans="2:33" ht="15" thickBot="1">
      <c r="C759" t="s">
        <v>194</v>
      </c>
      <c r="I759" s="54">
        <v>0</v>
      </c>
      <c r="K759" s="54">
        <v>0</v>
      </c>
      <c r="M759" s="54">
        <v>0</v>
      </c>
      <c r="O759" s="54">
        <v>0</v>
      </c>
      <c r="Q759" s="54">
        <v>0</v>
      </c>
      <c r="S759" t="s">
        <v>128</v>
      </c>
      <c r="Y759" s="94">
        <v>0.41929096279504385</v>
      </c>
      <c r="AA759" s="94">
        <v>0.30099276882339326</v>
      </c>
      <c r="AC759" s="94">
        <v>0.2229851464936555</v>
      </c>
      <c r="AE759" s="94">
        <v>0.17265352818184593</v>
      </c>
      <c r="AG759" s="94">
        <v>0.13757177069203058</v>
      </c>
    </row>
    <row r="760" spans="2:33" ht="15" thickTop="1">
      <c r="S760" t="s">
        <v>73</v>
      </c>
      <c r="Y760" s="94">
        <v>0.21297457107843135</v>
      </c>
      <c r="AA760" s="94">
        <v>0.21487089353285177</v>
      </c>
      <c r="AC760" s="94">
        <v>0.1641786677736653</v>
      </c>
      <c r="AE760" s="94">
        <v>0.15430325918577567</v>
      </c>
      <c r="AG760" s="94">
        <v>0.14502186013700713</v>
      </c>
    </row>
    <row r="761" spans="2:33">
      <c r="C761" t="s">
        <v>195</v>
      </c>
      <c r="I761" s="7">
        <v>138032.95000000001</v>
      </c>
      <c r="K761" s="7">
        <v>167911.95570000002</v>
      </c>
      <c r="M761" s="7">
        <v>200056.81732166669</v>
      </c>
      <c r="O761" s="7">
        <v>236578.12522778334</v>
      </c>
      <c r="Q761" s="7">
        <v>277404.51738016686</v>
      </c>
      <c r="S761" t="s">
        <v>132</v>
      </c>
      <c r="Y761" s="94">
        <v>0.10541780024509805</v>
      </c>
      <c r="AA761" s="94">
        <v>0.1018332282337277</v>
      </c>
      <c r="AC761" s="94">
        <v>9.8376190777232822E-2</v>
      </c>
      <c r="AE761" s="94">
        <v>9.5041831172286775E-2</v>
      </c>
      <c r="AG761" s="94">
        <v>9.1825494909526961E-2</v>
      </c>
    </row>
    <row r="762" spans="2:33">
      <c r="S762" t="s">
        <v>134</v>
      </c>
      <c r="Y762" s="94">
        <v>0</v>
      </c>
      <c r="AA762" s="94">
        <v>0</v>
      </c>
      <c r="AC762" s="94">
        <v>0</v>
      </c>
      <c r="AE762" s="94">
        <v>0</v>
      </c>
      <c r="AG762" s="94">
        <v>0</v>
      </c>
    </row>
    <row r="763" spans="2:33">
      <c r="B763" s="6" t="s">
        <v>112</v>
      </c>
      <c r="I763" s="7">
        <v>582986.41</v>
      </c>
      <c r="K763" s="7">
        <v>642515.06016666675</v>
      </c>
      <c r="M763" s="7">
        <v>745052.5733223334</v>
      </c>
      <c r="O763" s="7">
        <v>826840.85104767012</v>
      </c>
      <c r="Q763" s="7">
        <v>915900.35633075936</v>
      </c>
      <c r="S763" t="s">
        <v>135</v>
      </c>
      <c r="Y763" s="94">
        <v>0.42381017156862744</v>
      </c>
      <c r="AA763" s="94">
        <v>0.41853735000030717</v>
      </c>
      <c r="AC763" s="94">
        <v>0.36093104932813092</v>
      </c>
      <c r="AE763" s="94">
        <v>0.34438692153034922</v>
      </c>
      <c r="AG763" s="94">
        <v>0.32867284995606105</v>
      </c>
    </row>
    <row r="764" spans="2:33">
      <c r="B764" s="6"/>
      <c r="S764" t="s">
        <v>47</v>
      </c>
      <c r="Y764" s="94">
        <v>0.21144753370098041</v>
      </c>
      <c r="AA764" s="94">
        <v>0.24174630582084808</v>
      </c>
      <c r="AC764" s="94">
        <v>0.27070105835366015</v>
      </c>
      <c r="AE764" s="94">
        <v>0.30086353660473247</v>
      </c>
      <c r="AG764" s="94">
        <v>0.33156361912813626</v>
      </c>
    </row>
    <row r="765" spans="2:33">
      <c r="B765" s="6" t="s">
        <v>196</v>
      </c>
      <c r="I765" s="7">
        <v>0</v>
      </c>
      <c r="K765" s="7">
        <v>0</v>
      </c>
      <c r="M765" s="7">
        <v>0</v>
      </c>
      <c r="O765" s="7">
        <v>0</v>
      </c>
      <c r="Q765" s="7">
        <v>0</v>
      </c>
      <c r="S765" t="s">
        <v>114</v>
      </c>
      <c r="Y765" s="94">
        <v>0.21236263786764703</v>
      </c>
      <c r="AA765" s="94">
        <v>0.17679104417945909</v>
      </c>
      <c r="AC765" s="94">
        <v>9.0229990974470764E-2</v>
      </c>
      <c r="AE765" s="94">
        <v>4.3523384925616748E-2</v>
      </c>
      <c r="AG765" s="94">
        <v>-2.8907691720752027E-3</v>
      </c>
    </row>
    <row r="766" spans="2:33">
      <c r="B766" s="6"/>
      <c r="S766" t="s">
        <v>38</v>
      </c>
      <c r="Y766" s="94">
        <v>4.9133907982610454</v>
      </c>
      <c r="AA766" s="94">
        <v>5.849340212606891</v>
      </c>
      <c r="AC766" s="94">
        <v>7.0667490918646783</v>
      </c>
      <c r="AE766" s="94">
        <v>8.4144431830125921</v>
      </c>
      <c r="AG766" s="94">
        <v>9.9292613858649172</v>
      </c>
    </row>
    <row r="767" spans="2:33">
      <c r="B767" s="6" t="s">
        <v>113</v>
      </c>
      <c r="I767" s="7">
        <v>0</v>
      </c>
      <c r="K767" s="7">
        <v>0</v>
      </c>
      <c r="M767" s="7">
        <v>0</v>
      </c>
      <c r="O767" s="7">
        <v>0</v>
      </c>
      <c r="Q767" s="7">
        <v>0</v>
      </c>
      <c r="S767" t="s">
        <v>39</v>
      </c>
      <c r="Y767" s="7">
        <v>459547.16399999999</v>
      </c>
      <c r="AA767" s="7">
        <v>474985.27673333348</v>
      </c>
      <c r="AC767" s="7">
        <v>530369.34080066672</v>
      </c>
      <c r="AE767" s="7">
        <v>579949.71781988686</v>
      </c>
      <c r="AG767" s="7">
        <v>629110.957617259</v>
      </c>
    </row>
    <row r="768" spans="2:33">
      <c r="B768" s="6"/>
      <c r="S768" t="s">
        <v>44</v>
      </c>
      <c r="Y768" s="7">
        <v>459547.16399999999</v>
      </c>
      <c r="AA768" s="7">
        <v>474985.27673333348</v>
      </c>
      <c r="AC768" s="7">
        <v>530369.34080066672</v>
      </c>
      <c r="AE768" s="7">
        <v>579949.71781988686</v>
      </c>
      <c r="AG768" s="7">
        <v>629110.957617259</v>
      </c>
    </row>
    <row r="769" spans="2:33">
      <c r="B769" s="6" t="s">
        <v>162</v>
      </c>
      <c r="I769" s="7">
        <v>582986.41</v>
      </c>
      <c r="K769" s="7">
        <v>642515.06016666675</v>
      </c>
      <c r="M769" s="7">
        <v>745052.5733223334</v>
      </c>
      <c r="O769" s="7">
        <v>826840.85104767012</v>
      </c>
      <c r="Q769" s="7">
        <v>915900.35633075936</v>
      </c>
      <c r="S769" t="s">
        <v>51</v>
      </c>
      <c r="Y769" s="94">
        <v>0.89305516237745108</v>
      </c>
      <c r="AA769" s="94">
        <v>0.92504218405426863</v>
      </c>
      <c r="AC769" s="94">
        <v>1.0081461998027621</v>
      </c>
      <c r="AE769" s="94">
        <v>1.05151844624667</v>
      </c>
      <c r="AG769" s="94">
        <v>1.0947162640816024</v>
      </c>
    </row>
    <row r="771" spans="2:33" ht="6.75" customHeight="1">
      <c r="B771" s="32"/>
      <c r="C771" s="32"/>
      <c r="D771" s="32"/>
      <c r="E771" s="32"/>
      <c r="F771" s="32"/>
      <c r="G771" s="32"/>
      <c r="H771" s="32"/>
      <c r="I771" s="25"/>
      <c r="J771" s="32"/>
      <c r="K771" s="25"/>
      <c r="L771" s="32"/>
      <c r="M771" s="25"/>
      <c r="N771" s="32"/>
      <c r="O771" s="25"/>
      <c r="P771" s="32"/>
      <c r="Q771" s="25"/>
      <c r="S771" s="32"/>
      <c r="T771" s="32"/>
      <c r="U771" s="32"/>
      <c r="V771" s="32"/>
      <c r="W771" s="32"/>
      <c r="X771" s="32"/>
      <c r="Y771" s="25"/>
      <c r="Z771" s="32"/>
      <c r="AA771" s="25"/>
      <c r="AB771" s="32"/>
      <c r="AC771" s="25"/>
      <c r="AD771" s="32"/>
      <c r="AE771" s="25"/>
      <c r="AF771" s="32"/>
      <c r="AG771" s="25"/>
    </row>
    <row r="774" spans="2:33" ht="26">
      <c r="B774" s="5" t="s">
        <v>198</v>
      </c>
      <c r="S774" s="5">
        <v>0</v>
      </c>
    </row>
    <row r="776" spans="2:33" ht="26">
      <c r="B776" s="5" t="s">
        <v>179</v>
      </c>
      <c r="O776" s="7" t="s">
        <v>284</v>
      </c>
      <c r="Q776" s="7" t="s">
        <v>298</v>
      </c>
      <c r="S776" s="5" t="s">
        <v>200</v>
      </c>
      <c r="AE776" s="7" t="s">
        <v>284</v>
      </c>
      <c r="AG776" s="7" t="s">
        <v>298</v>
      </c>
    </row>
    <row r="777" spans="2:33" ht="6.75" customHeight="1">
      <c r="B777" s="43"/>
      <c r="C777" s="32"/>
      <c r="D777" s="32"/>
      <c r="E777" s="32"/>
      <c r="F777" s="32"/>
      <c r="G777" s="32"/>
      <c r="H777" s="32"/>
      <c r="I777" s="25"/>
      <c r="J777" s="32"/>
      <c r="K777" s="25"/>
      <c r="L777" s="32"/>
      <c r="M777" s="25"/>
      <c r="N777" s="32"/>
      <c r="O777" s="25"/>
      <c r="P777" s="32"/>
      <c r="Q777" s="25"/>
      <c r="S777" s="43"/>
      <c r="T777" s="32"/>
      <c r="U777" s="32"/>
      <c r="V777" s="32"/>
      <c r="W777" s="32"/>
      <c r="X777" s="32"/>
      <c r="Y777" s="25"/>
      <c r="Z777" s="32"/>
      <c r="AA777" s="25"/>
      <c r="AB777" s="32"/>
      <c r="AC777" s="25"/>
      <c r="AD777" s="32"/>
      <c r="AE777" s="25"/>
      <c r="AF777" s="32"/>
      <c r="AG777" s="25"/>
    </row>
    <row r="778" spans="2:33" ht="17.25" customHeight="1">
      <c r="B778" s="5"/>
      <c r="S778" s="5"/>
    </row>
    <row r="779" spans="2:33" ht="15" thickBot="1">
      <c r="I779" s="33"/>
      <c r="J779" s="34"/>
      <c r="K779" s="33"/>
      <c r="L779" s="34"/>
      <c r="M779" s="35" t="s">
        <v>58</v>
      </c>
      <c r="N779" s="34"/>
      <c r="O779" s="33"/>
      <c r="P779" s="34"/>
      <c r="Q779" s="33"/>
      <c r="Y779" s="33"/>
      <c r="Z779" s="34"/>
      <c r="AA779" s="33"/>
      <c r="AB779" s="34"/>
      <c r="AC779" s="35" t="s">
        <v>59</v>
      </c>
      <c r="AD779" s="34"/>
      <c r="AE779" s="33"/>
      <c r="AF779" s="34"/>
      <c r="AG779" s="33"/>
    </row>
    <row r="780" spans="2:33">
      <c r="B780" s="6" t="s">
        <v>180</v>
      </c>
      <c r="I780" s="8">
        <v>2019</v>
      </c>
      <c r="J780" s="8"/>
      <c r="K780" s="8">
        <v>2020</v>
      </c>
      <c r="L780" s="8"/>
      <c r="M780" s="8">
        <v>2021</v>
      </c>
      <c r="N780" s="8"/>
      <c r="O780" s="8">
        <v>2022</v>
      </c>
      <c r="P780" s="8"/>
      <c r="Q780" s="8">
        <v>2023</v>
      </c>
      <c r="S780" s="6" t="s">
        <v>201</v>
      </c>
      <c r="Y780" s="10">
        <v>43465</v>
      </c>
      <c r="Z780" s="8"/>
      <c r="AA780" s="10">
        <v>43830</v>
      </c>
      <c r="AB780" s="8"/>
      <c r="AC780" s="10">
        <v>44196</v>
      </c>
      <c r="AD780" s="8"/>
      <c r="AE780" s="10">
        <v>44561</v>
      </c>
      <c r="AF780" s="8"/>
      <c r="AG780" s="10">
        <v>44926</v>
      </c>
    </row>
    <row r="782" spans="2:33">
      <c r="C782" t="s">
        <v>86</v>
      </c>
      <c r="I782" s="7">
        <v>652800</v>
      </c>
      <c r="K782" s="7">
        <v>694579.20000000007</v>
      </c>
      <c r="M782" s="7">
        <v>739032.26880000008</v>
      </c>
      <c r="O782" s="7">
        <v>786330.33400320017</v>
      </c>
      <c r="Q782" s="7">
        <v>836655.47537940508</v>
      </c>
      <c r="T782" t="s">
        <v>281</v>
      </c>
      <c r="Y782" s="7">
        <v>1601488.3588</v>
      </c>
      <c r="AA782" s="7">
        <v>2226544.6262733331</v>
      </c>
      <c r="AC782" s="7">
        <v>2947233.3395876661</v>
      </c>
      <c r="AE782" s="7">
        <v>3718613.0918536028</v>
      </c>
      <c r="AG782" s="7">
        <v>4586119.4959302088</v>
      </c>
    </row>
    <row r="783" spans="2:33">
      <c r="C783" t="s">
        <v>181</v>
      </c>
      <c r="I783" s="7">
        <v>0</v>
      </c>
      <c r="K783" s="7">
        <v>0</v>
      </c>
      <c r="M783" s="7">
        <v>0</v>
      </c>
      <c r="O783" s="7">
        <v>0</v>
      </c>
      <c r="Q783" s="7">
        <v>0</v>
      </c>
      <c r="T783" t="s">
        <v>165</v>
      </c>
      <c r="Y783" s="7">
        <v>0</v>
      </c>
      <c r="AA783" s="7">
        <v>0</v>
      </c>
      <c r="AC783" s="7">
        <v>0</v>
      </c>
      <c r="AE783" s="7">
        <v>0</v>
      </c>
      <c r="AG783" s="7">
        <v>0</v>
      </c>
    </row>
    <row r="784" spans="2:33">
      <c r="C784" t="s">
        <v>110</v>
      </c>
      <c r="I784" s="7">
        <v>0</v>
      </c>
      <c r="K784" s="7">
        <v>0</v>
      </c>
      <c r="M784" s="7">
        <v>0</v>
      </c>
      <c r="O784" s="7">
        <v>0</v>
      </c>
      <c r="Q784" s="7">
        <v>0</v>
      </c>
      <c r="T784" t="s">
        <v>202</v>
      </c>
      <c r="Y784" s="7">
        <v>1725710</v>
      </c>
      <c r="AA784" s="7">
        <v>1725710</v>
      </c>
      <c r="AC784" s="7">
        <v>1725710</v>
      </c>
      <c r="AE784" s="7">
        <v>1725710</v>
      </c>
      <c r="AG784" s="7">
        <v>1725710</v>
      </c>
    </row>
    <row r="785" spans="2:33" ht="15" thickBot="1">
      <c r="C785" t="s">
        <v>125</v>
      </c>
      <c r="I785" s="54">
        <v>0</v>
      </c>
      <c r="K785" s="54">
        <v>0</v>
      </c>
      <c r="M785" s="54">
        <v>0</v>
      </c>
      <c r="O785" s="54">
        <v>0</v>
      </c>
      <c r="Q785" s="54">
        <v>0</v>
      </c>
      <c r="T785" t="s">
        <v>203</v>
      </c>
      <c r="Y785" s="54">
        <v>5000</v>
      </c>
      <c r="AA785" s="54">
        <v>5000</v>
      </c>
      <c r="AC785" s="54">
        <v>5000</v>
      </c>
      <c r="AE785" s="54">
        <v>5000</v>
      </c>
      <c r="AG785" s="54">
        <v>5000</v>
      </c>
    </row>
    <row r="786" spans="2:33" ht="15" thickTop="1"/>
    <row r="787" spans="2:33">
      <c r="C787" t="s">
        <v>182</v>
      </c>
      <c r="I787" s="7">
        <v>652800</v>
      </c>
      <c r="K787" s="7">
        <v>694579.20000000007</v>
      </c>
      <c r="M787" s="7">
        <v>739032.26880000008</v>
      </c>
      <c r="O787" s="7">
        <v>786330.33400320017</v>
      </c>
      <c r="Q787" s="7">
        <v>836655.47537940508</v>
      </c>
      <c r="T787" t="s">
        <v>166</v>
      </c>
      <c r="Y787" s="7">
        <v>3332198.3588</v>
      </c>
      <c r="AA787" s="7">
        <v>3957254.6262733331</v>
      </c>
      <c r="AC787" s="7">
        <v>4677943.3395876661</v>
      </c>
      <c r="AE787" s="7">
        <v>5449323.0918536028</v>
      </c>
      <c r="AG787" s="7">
        <v>6316829.4959302088</v>
      </c>
    </row>
    <row r="789" spans="2:33">
      <c r="B789" s="6" t="s">
        <v>183</v>
      </c>
      <c r="S789" s="6" t="s">
        <v>204</v>
      </c>
    </row>
    <row r="791" spans="2:33">
      <c r="C791" t="s">
        <v>184</v>
      </c>
      <c r="I791" s="7">
        <v>155476.85119999998</v>
      </c>
      <c r="K791" s="7">
        <v>165151.60826666665</v>
      </c>
      <c r="M791" s="7">
        <v>143253.10733333332</v>
      </c>
      <c r="O791" s="7">
        <v>173863.47386666664</v>
      </c>
      <c r="Q791" s="7">
        <v>164538.92279999997</v>
      </c>
      <c r="T791" t="s">
        <v>205</v>
      </c>
      <c r="Y791" s="7">
        <v>330388.30879999994</v>
      </c>
      <c r="AA791" s="7">
        <v>286570.03386666661</v>
      </c>
      <c r="AC791" s="7">
        <v>264650.25986666663</v>
      </c>
      <c r="AE791" s="7">
        <v>326818.94599999988</v>
      </c>
      <c r="AG791" s="7">
        <v>283613.35653333319</v>
      </c>
    </row>
    <row r="792" spans="2:33" ht="15" thickBot="1">
      <c r="C792" t="s">
        <v>185</v>
      </c>
      <c r="I792" s="54">
        <v>80555.308799999941</v>
      </c>
      <c r="K792" s="54">
        <v>-43818.274933333334</v>
      </c>
      <c r="M792" s="54">
        <v>-21919.773999999976</v>
      </c>
      <c r="O792" s="54">
        <v>62168.686133333249</v>
      </c>
      <c r="Q792" s="54">
        <v>-43205.589466666686</v>
      </c>
      <c r="T792" t="s">
        <v>206</v>
      </c>
      <c r="Y792" s="54">
        <v>420078</v>
      </c>
      <c r="AA792" s="54">
        <v>420078</v>
      </c>
      <c r="AC792" s="54">
        <v>420078</v>
      </c>
      <c r="AE792" s="54">
        <v>420078</v>
      </c>
      <c r="AG792" s="54">
        <v>420078</v>
      </c>
    </row>
    <row r="793" spans="2:33" ht="15" thickTop="1"/>
    <row r="794" spans="2:33">
      <c r="C794" t="s">
        <v>186</v>
      </c>
      <c r="I794" s="7">
        <v>236032.15999999992</v>
      </c>
      <c r="K794" s="7">
        <v>121333.33333333331</v>
      </c>
      <c r="M794" s="7">
        <v>121333.33333333334</v>
      </c>
      <c r="O794" s="7">
        <v>236032.15999999989</v>
      </c>
      <c r="Q794" s="7">
        <v>121333.33333333328</v>
      </c>
      <c r="T794" t="s">
        <v>167</v>
      </c>
      <c r="Y794" s="7">
        <v>750466.3088</v>
      </c>
      <c r="AA794" s="7">
        <v>706648.03386666661</v>
      </c>
      <c r="AC794" s="7">
        <v>684728.25986666663</v>
      </c>
      <c r="AE794" s="7">
        <v>746896.94599999988</v>
      </c>
      <c r="AG794" s="7">
        <v>703691.35653333319</v>
      </c>
    </row>
    <row r="796" spans="2:33">
      <c r="C796" t="s">
        <v>164</v>
      </c>
      <c r="I796" s="7">
        <v>416767.84000000008</v>
      </c>
      <c r="K796" s="7">
        <v>573245.8666666667</v>
      </c>
      <c r="M796" s="7">
        <v>617698.93546666671</v>
      </c>
      <c r="O796" s="7">
        <v>550298.17400320026</v>
      </c>
      <c r="Q796" s="7">
        <v>715322.14204607182</v>
      </c>
      <c r="S796" s="6" t="s">
        <v>169</v>
      </c>
      <c r="Y796" s="7">
        <v>2581732.0499999998</v>
      </c>
      <c r="AA796" s="7">
        <v>3250606.5924066664</v>
      </c>
      <c r="AC796" s="7">
        <v>3993215.0797209996</v>
      </c>
      <c r="AE796" s="7">
        <v>4702426.1458536033</v>
      </c>
      <c r="AG796" s="7">
        <v>5613138.1393968761</v>
      </c>
    </row>
    <row r="797" spans="2:33">
      <c r="S797" s="6"/>
    </row>
    <row r="798" spans="2:33" ht="6.75" customHeight="1">
      <c r="S798" s="32"/>
      <c r="T798" s="32"/>
      <c r="U798" s="32"/>
      <c r="V798" s="32"/>
      <c r="W798" s="32"/>
      <c r="X798" s="32"/>
      <c r="Y798" s="25"/>
      <c r="Z798" s="32"/>
      <c r="AA798" s="25"/>
      <c r="AB798" s="32"/>
      <c r="AC798" s="25"/>
      <c r="AD798" s="32"/>
      <c r="AE798" s="25"/>
      <c r="AF798" s="32"/>
      <c r="AG798" s="25"/>
    </row>
    <row r="799" spans="2:33" ht="26">
      <c r="C799" t="s">
        <v>163</v>
      </c>
      <c r="S799" s="23" t="s">
        <v>53</v>
      </c>
      <c r="X799" s="5"/>
      <c r="Y799"/>
      <c r="AA799"/>
      <c r="AC799"/>
      <c r="AE799" t="s">
        <v>284</v>
      </c>
      <c r="AG799" t="s">
        <v>298</v>
      </c>
    </row>
    <row r="800" spans="2:33" ht="15.75" customHeight="1">
      <c r="D800" t="s">
        <v>187</v>
      </c>
      <c r="I800" s="7">
        <v>63816.740000000005</v>
      </c>
      <c r="K800" s="7">
        <v>65731.242200000008</v>
      </c>
      <c r="M800" s="7">
        <v>67703.179466000016</v>
      </c>
      <c r="O800" s="7">
        <v>69734.274849980022</v>
      </c>
      <c r="Q800" s="7">
        <v>71826.303095479423</v>
      </c>
      <c r="S800" s="5"/>
    </row>
    <row r="801" spans="2:33" ht="15" thickBot="1">
      <c r="D801" t="s">
        <v>188</v>
      </c>
      <c r="I801" s="7">
        <v>0</v>
      </c>
      <c r="K801" s="7">
        <v>0</v>
      </c>
      <c r="M801" s="7">
        <v>0</v>
      </c>
      <c r="O801" s="7">
        <v>0</v>
      </c>
      <c r="Q801" s="7">
        <v>0</v>
      </c>
      <c r="Y801" s="33"/>
      <c r="Z801" s="34"/>
      <c r="AA801" s="33"/>
      <c r="AB801" s="34"/>
      <c r="AC801" s="35" t="s">
        <v>59</v>
      </c>
      <c r="AD801" s="34"/>
      <c r="AE801" s="33"/>
      <c r="AF801" s="34"/>
      <c r="AG801" s="33"/>
    </row>
    <row r="802" spans="2:33">
      <c r="D802" t="s">
        <v>189</v>
      </c>
      <c r="I802" s="7">
        <v>0</v>
      </c>
      <c r="K802" s="7">
        <v>0</v>
      </c>
      <c r="M802" s="7">
        <v>0</v>
      </c>
      <c r="O802" s="7">
        <v>0</v>
      </c>
      <c r="Q802" s="7">
        <v>0</v>
      </c>
      <c r="S802" s="22" t="s">
        <v>74</v>
      </c>
      <c r="Y802" s="10">
        <v>43465</v>
      </c>
      <c r="Z802" s="8"/>
      <c r="AA802" s="10">
        <v>43830</v>
      </c>
      <c r="AB802" s="8"/>
      <c r="AC802" s="10">
        <v>44196</v>
      </c>
      <c r="AD802" s="8"/>
      <c r="AE802" s="10">
        <v>44561</v>
      </c>
      <c r="AF802" s="8"/>
      <c r="AG802" s="10">
        <v>44926</v>
      </c>
    </row>
    <row r="803" spans="2:33">
      <c r="D803" t="s">
        <v>190</v>
      </c>
      <c r="I803" s="7">
        <v>0</v>
      </c>
      <c r="K803" s="7">
        <v>0</v>
      </c>
      <c r="M803" s="7">
        <v>0</v>
      </c>
      <c r="O803" s="7">
        <v>0</v>
      </c>
      <c r="Q803" s="7">
        <v>0</v>
      </c>
      <c r="Y803"/>
      <c r="AA803"/>
      <c r="AC803"/>
      <c r="AE803"/>
      <c r="AG803"/>
    </row>
    <row r="804" spans="2:33">
      <c r="D804" t="s">
        <v>111</v>
      </c>
      <c r="I804" s="7">
        <v>5000</v>
      </c>
      <c r="K804" s="7">
        <v>5000</v>
      </c>
      <c r="M804" s="7">
        <v>5000</v>
      </c>
      <c r="O804" s="7">
        <v>5000</v>
      </c>
      <c r="Q804" s="7">
        <v>5000</v>
      </c>
      <c r="S804" t="s">
        <v>115</v>
      </c>
      <c r="Y804" s="94">
        <v>0.25285350584697591</v>
      </c>
      <c r="AA804" s="94">
        <v>0.21367679547027293</v>
      </c>
      <c r="AC804" s="94">
        <v>0.18507199187769149</v>
      </c>
      <c r="AE804" s="94">
        <v>0.16721800823954511</v>
      </c>
      <c r="AG804" s="94">
        <v>0.14905307060005876</v>
      </c>
    </row>
    <row r="805" spans="2:33" ht="15" thickBot="1">
      <c r="D805" t="s">
        <v>191</v>
      </c>
      <c r="I805" s="54">
        <v>0</v>
      </c>
      <c r="K805" s="54">
        <v>0</v>
      </c>
      <c r="M805" s="54">
        <v>0</v>
      </c>
      <c r="O805" s="54">
        <v>0</v>
      </c>
      <c r="Q805" s="54">
        <v>0</v>
      </c>
      <c r="S805" t="s">
        <v>116</v>
      </c>
      <c r="Y805" s="94">
        <v>0.25285350584697591</v>
      </c>
      <c r="AA805" s="94">
        <v>0.21367679547027293</v>
      </c>
      <c r="AC805" s="94">
        <v>0.18507199187769149</v>
      </c>
      <c r="AE805" s="94">
        <v>0.16721800823954511</v>
      </c>
      <c r="AG805" s="94">
        <v>0.14905307060005876</v>
      </c>
    </row>
    <row r="806" spans="2:33" ht="15" thickTop="1">
      <c r="S806" t="s">
        <v>242</v>
      </c>
      <c r="Y806" s="94">
        <v>9.6834216393602901E-2</v>
      </c>
      <c r="AA806" s="94">
        <v>7.6908722385536782E-2</v>
      </c>
      <c r="AC806" s="94">
        <v>6.2606194509679941E-2</v>
      </c>
      <c r="AE806" s="94">
        <v>5.3164046014936191E-2</v>
      </c>
      <c r="AG806" s="94">
        <v>4.4538365846606823E-2</v>
      </c>
    </row>
    <row r="807" spans="2:33">
      <c r="D807" t="s">
        <v>192</v>
      </c>
      <c r="I807" s="7">
        <v>68816.740000000005</v>
      </c>
      <c r="K807" s="7">
        <v>70731.242200000008</v>
      </c>
      <c r="M807" s="7">
        <v>72703.179466000016</v>
      </c>
      <c r="O807" s="7">
        <v>74734.274849980022</v>
      </c>
      <c r="Q807" s="7">
        <v>76826.303095479423</v>
      </c>
      <c r="S807" t="s">
        <v>48</v>
      </c>
      <c r="Y807" s="94">
        <v>9.7082723296533502E-2</v>
      </c>
      <c r="AA807" s="94">
        <v>7.4173949319438631E-2</v>
      </c>
      <c r="AC807" s="94">
        <v>4.8605960515286248E-2</v>
      </c>
      <c r="AE807" s="94">
        <v>4.6754924368859675E-2</v>
      </c>
      <c r="AG807" s="94">
        <v>3.5877591708199985E-2</v>
      </c>
    </row>
    <row r="808" spans="2:33">
      <c r="S808" t="s">
        <v>207</v>
      </c>
      <c r="Y808" s="97">
        <v>7465</v>
      </c>
      <c r="AA808" s="7">
        <v>41779.20000000007</v>
      </c>
      <c r="AC808" s="7">
        <v>44453.068800000008</v>
      </c>
      <c r="AE808" s="7">
        <v>47298.065203200094</v>
      </c>
      <c r="AG808" s="7">
        <v>50325.141376204905</v>
      </c>
    </row>
    <row r="809" spans="2:33">
      <c r="C809" t="s">
        <v>193</v>
      </c>
      <c r="I809" s="7">
        <v>347951.10000000009</v>
      </c>
      <c r="K809" s="7">
        <v>502514.62446666672</v>
      </c>
      <c r="M809" s="7">
        <v>544995.75600066665</v>
      </c>
      <c r="O809" s="7">
        <v>475563.89915322023</v>
      </c>
      <c r="Q809" s="7">
        <v>638495.83895059244</v>
      </c>
      <c r="S809" t="s">
        <v>118</v>
      </c>
      <c r="Y809" s="97">
        <v>485984.04999999981</v>
      </c>
      <c r="AA809" s="7">
        <v>668874.54240666656</v>
      </c>
      <c r="AC809" s="7">
        <v>742608.48731433321</v>
      </c>
      <c r="AE809" s="7">
        <v>709211.06613260368</v>
      </c>
      <c r="AG809" s="7">
        <v>910711.99354327284</v>
      </c>
    </row>
    <row r="810" spans="2:33">
      <c r="S810" t="s">
        <v>119</v>
      </c>
      <c r="Y810" s="94">
        <v>3.1202040815970791E-2</v>
      </c>
      <c r="AA810" s="94">
        <v>-1.6972433267555143E-2</v>
      </c>
      <c r="AC810" s="94">
        <v>-6.7432872532788204E-3</v>
      </c>
      <c r="AE810" s="94">
        <v>1.5568579425898815E-2</v>
      </c>
      <c r="AG810" s="94">
        <v>-9.1879357860332397E-3</v>
      </c>
    </row>
    <row r="811" spans="2:33">
      <c r="B811" s="6" t="s">
        <v>168</v>
      </c>
      <c r="S811" t="s">
        <v>280</v>
      </c>
      <c r="Y811" s="94">
        <v>5.3465250198989483E-2</v>
      </c>
      <c r="AA811" s="94">
        <v>5.1178114979712558E-2</v>
      </c>
      <c r="AC811" s="94">
        <v>4.9487124376850149E-2</v>
      </c>
      <c r="AE811" s="94">
        <v>4.9686514946205657E-2</v>
      </c>
      <c r="AG811" s="94">
        <v>4.8496250730421075E-2</v>
      </c>
    </row>
    <row r="812" spans="2:33">
      <c r="S812" t="s">
        <v>124</v>
      </c>
      <c r="Y812" s="94">
        <v>0</v>
      </c>
      <c r="AA812" s="94">
        <v>0</v>
      </c>
      <c r="AC812" s="94">
        <v>0</v>
      </c>
      <c r="AE812" s="94">
        <v>0</v>
      </c>
      <c r="AG812" s="94">
        <v>0</v>
      </c>
    </row>
    <row r="813" spans="2:33">
      <c r="C813" t="s">
        <v>279</v>
      </c>
      <c r="I813" s="7">
        <v>138032.95000000001</v>
      </c>
      <c r="K813" s="7">
        <v>166359.91794000001</v>
      </c>
      <c r="M813" s="7">
        <v>197612.73131366668</v>
      </c>
      <c r="O813" s="7">
        <v>233647.16697938333</v>
      </c>
      <c r="Q813" s="7">
        <v>272216.15459268016</v>
      </c>
      <c r="S813" t="s">
        <v>127</v>
      </c>
      <c r="Y813" s="94">
        <v>3.1202040815970791E-2</v>
      </c>
      <c r="AA813" s="94">
        <v>-1.6972433267555143E-2</v>
      </c>
      <c r="AC813" s="94">
        <v>-6.7432872532788204E-3</v>
      </c>
      <c r="AE813" s="94">
        <v>1.5568579425898815E-2</v>
      </c>
      <c r="AG813" s="94">
        <v>-9.1879357860332397E-3</v>
      </c>
    </row>
    <row r="814" spans="2:33" ht="15" thickBot="1">
      <c r="C814" t="s">
        <v>194</v>
      </c>
      <c r="I814" s="54">
        <v>0</v>
      </c>
      <c r="K814" s="54">
        <v>0</v>
      </c>
      <c r="M814" s="54">
        <v>0</v>
      </c>
      <c r="O814" s="54">
        <v>0</v>
      </c>
      <c r="Q814" s="54">
        <v>0</v>
      </c>
      <c r="S814" t="s">
        <v>128</v>
      </c>
      <c r="Y814" s="94">
        <v>0.4686055347678747</v>
      </c>
      <c r="AA814" s="94">
        <v>0.31737429626524705</v>
      </c>
      <c r="AC814" s="94">
        <v>0.23232916466751963</v>
      </c>
      <c r="AE814" s="94">
        <v>0.20085363213404303</v>
      </c>
      <c r="AG814" s="94">
        <v>0.15343938533607759</v>
      </c>
    </row>
    <row r="815" spans="2:33" ht="15" thickTop="1">
      <c r="S815" t="s">
        <v>73</v>
      </c>
      <c r="Y815" s="94">
        <v>0.36156887254901948</v>
      </c>
      <c r="AA815" s="94">
        <v>0.17468610251117986</v>
      </c>
      <c r="AC815" s="94">
        <v>0.16417866777366533</v>
      </c>
      <c r="AE815" s="94">
        <v>0.30016921615927294</v>
      </c>
      <c r="AG815" s="94">
        <v>0.14502186013700713</v>
      </c>
    </row>
    <row r="816" spans="2:33">
      <c r="C816" t="s">
        <v>195</v>
      </c>
      <c r="I816" s="7">
        <v>138032.95000000001</v>
      </c>
      <c r="K816" s="7">
        <v>166359.91794000001</v>
      </c>
      <c r="M816" s="7">
        <v>197612.73131366668</v>
      </c>
      <c r="O816" s="7">
        <v>233647.16697938333</v>
      </c>
      <c r="Q816" s="7">
        <v>272216.15459268016</v>
      </c>
      <c r="S816" t="s">
        <v>132</v>
      </c>
      <c r="Y816" s="94">
        <v>0.10541780024509805</v>
      </c>
      <c r="AA816" s="94">
        <v>0.1018332282337277</v>
      </c>
      <c r="AC816" s="94">
        <v>9.8376190777232822E-2</v>
      </c>
      <c r="AE816" s="94">
        <v>9.5041831172286775E-2</v>
      </c>
      <c r="AG816" s="94">
        <v>9.1825494909526961E-2</v>
      </c>
    </row>
    <row r="817" spans="2:33">
      <c r="S817" t="s">
        <v>134</v>
      </c>
      <c r="Y817" s="94">
        <v>0</v>
      </c>
      <c r="AA817" s="94">
        <v>0</v>
      </c>
      <c r="AC817" s="94">
        <v>0</v>
      </c>
      <c r="AE817" s="94">
        <v>0</v>
      </c>
      <c r="AG817" s="94">
        <v>0</v>
      </c>
    </row>
    <row r="818" spans="2:33">
      <c r="B818" s="6" t="s">
        <v>112</v>
      </c>
      <c r="I818" s="7">
        <v>485984.0500000001</v>
      </c>
      <c r="K818" s="7">
        <v>668874.54240666679</v>
      </c>
      <c r="M818" s="7">
        <v>742608.48731433332</v>
      </c>
      <c r="O818" s="7">
        <v>709211.06613260356</v>
      </c>
      <c r="Q818" s="7">
        <v>910711.99354327261</v>
      </c>
      <c r="S818" t="s">
        <v>135</v>
      </c>
      <c r="Y818" s="94">
        <v>0.5724044730392156</v>
      </c>
      <c r="AA818" s="94">
        <v>0.37835255897863523</v>
      </c>
      <c r="AC818" s="94">
        <v>0.36093104932813097</v>
      </c>
      <c r="AE818" s="94">
        <v>0.49025287850384647</v>
      </c>
      <c r="AG818" s="94">
        <v>0.32867284995606105</v>
      </c>
    </row>
    <row r="819" spans="2:33">
      <c r="B819" s="6"/>
      <c r="S819" t="s">
        <v>47</v>
      </c>
      <c r="Y819" s="94">
        <v>0.21144753370098041</v>
      </c>
      <c r="AA819" s="94">
        <v>0.23951180504685426</v>
      </c>
      <c r="AC819" s="94">
        <v>0.26739391452356925</v>
      </c>
      <c r="AE819" s="94">
        <v>0.29713614860803839</v>
      </c>
      <c r="AG819" s="94">
        <v>0.32536230575582625</v>
      </c>
    </row>
    <row r="820" spans="2:33">
      <c r="B820" s="6" t="s">
        <v>196</v>
      </c>
      <c r="I820" s="7">
        <v>0</v>
      </c>
      <c r="K820" s="7">
        <v>0</v>
      </c>
      <c r="M820" s="7">
        <v>0</v>
      </c>
      <c r="O820" s="7">
        <v>0</v>
      </c>
      <c r="Q820" s="7">
        <v>0</v>
      </c>
      <c r="S820" t="s">
        <v>114</v>
      </c>
      <c r="Y820" s="94">
        <v>0.36095693933823519</v>
      </c>
      <c r="AA820" s="94">
        <v>0.13884075393178097</v>
      </c>
      <c r="AC820" s="94">
        <v>9.3537134804561717E-2</v>
      </c>
      <c r="AE820" s="94">
        <v>0.19311672989580808</v>
      </c>
      <c r="AG820" s="94">
        <v>3.3105442002347996E-3</v>
      </c>
    </row>
    <row r="821" spans="2:33">
      <c r="B821" s="6"/>
      <c r="S821" t="s">
        <v>38</v>
      </c>
      <c r="Y821" s="94">
        <v>4.4401704909687476</v>
      </c>
      <c r="AA821" s="94">
        <v>5.6000362791924285</v>
      </c>
      <c r="AC821" s="94">
        <v>6.8318245554792441</v>
      </c>
      <c r="AE821" s="94">
        <v>7.2959504266785471</v>
      </c>
      <c r="AG821" s="94">
        <v>8.976704683498534</v>
      </c>
    </row>
    <row r="822" spans="2:33">
      <c r="B822" s="6" t="s">
        <v>113</v>
      </c>
      <c r="I822" s="7">
        <v>0</v>
      </c>
      <c r="K822" s="7">
        <v>0</v>
      </c>
      <c r="M822" s="7">
        <v>0</v>
      </c>
      <c r="O822" s="7">
        <v>0</v>
      </c>
      <c r="Q822" s="7">
        <v>0</v>
      </c>
      <c r="S822" t="s">
        <v>39</v>
      </c>
      <c r="Y822" s="7">
        <v>428506.40880000003</v>
      </c>
      <c r="AA822" s="7">
        <v>458696.34953333344</v>
      </c>
      <c r="AC822" s="7">
        <v>523075.98200066673</v>
      </c>
      <c r="AE822" s="7">
        <v>537732.58528655348</v>
      </c>
      <c r="AG822" s="7">
        <v>595290.24948392576</v>
      </c>
    </row>
    <row r="823" spans="2:33">
      <c r="B823" s="6"/>
      <c r="S823" t="s">
        <v>44</v>
      </c>
      <c r="Y823" s="7">
        <v>428506.40880000003</v>
      </c>
      <c r="AA823" s="7">
        <v>458696.34953333344</v>
      </c>
      <c r="AC823" s="7">
        <v>523075.98200066673</v>
      </c>
      <c r="AE823" s="7">
        <v>537732.58528655348</v>
      </c>
      <c r="AG823" s="7">
        <v>595290.24948392576</v>
      </c>
    </row>
    <row r="824" spans="2:33">
      <c r="B824" s="6" t="s">
        <v>162</v>
      </c>
      <c r="I824" s="7">
        <v>485984.0500000001</v>
      </c>
      <c r="K824" s="7">
        <v>668874.54240666679</v>
      </c>
      <c r="M824" s="7">
        <v>742608.48731433332</v>
      </c>
      <c r="O824" s="7">
        <v>709211.06613260356</v>
      </c>
      <c r="Q824" s="7">
        <v>910711.99354327261</v>
      </c>
      <c r="S824" t="s">
        <v>51</v>
      </c>
      <c r="Y824" s="94">
        <v>0.74446086090686292</v>
      </c>
      <c r="AA824" s="94">
        <v>0.96299247430194679</v>
      </c>
      <c r="AC824" s="94">
        <v>1.004839055972671</v>
      </c>
      <c r="AE824" s="94">
        <v>0.90192510127647862</v>
      </c>
      <c r="AG824" s="94">
        <v>1.0885149507092922</v>
      </c>
    </row>
    <row r="826" spans="2:33" ht="6.75" customHeight="1">
      <c r="B826" s="32"/>
      <c r="C826" s="32"/>
      <c r="D826" s="32"/>
      <c r="E826" s="32"/>
      <c r="F826" s="32"/>
      <c r="G826" s="32"/>
      <c r="H826" s="32"/>
      <c r="I826" s="25"/>
      <c r="J826" s="32"/>
      <c r="K826" s="25"/>
      <c r="L826" s="32"/>
      <c r="M826" s="25"/>
      <c r="N826" s="32"/>
      <c r="O826" s="25"/>
      <c r="P826" s="32"/>
      <c r="Q826" s="25"/>
      <c r="S826" s="32"/>
      <c r="T826" s="32"/>
      <c r="U826" s="32"/>
      <c r="V826" s="32"/>
      <c r="W826" s="32"/>
      <c r="X826" s="32"/>
      <c r="Y826" s="25"/>
      <c r="Z826" s="32"/>
      <c r="AA826" s="25"/>
      <c r="AB826" s="32"/>
      <c r="AC826" s="25"/>
      <c r="AD826" s="32"/>
      <c r="AE826" s="25"/>
      <c r="AF826" s="32"/>
      <c r="AG826" s="25"/>
    </row>
    <row r="829" spans="2:33" ht="26">
      <c r="B829" s="5" t="s">
        <v>198</v>
      </c>
      <c r="S829" s="5">
        <v>0</v>
      </c>
    </row>
    <row r="831" spans="2:33" ht="26">
      <c r="B831" s="5" t="s">
        <v>179</v>
      </c>
      <c r="O831" s="7" t="s">
        <v>284</v>
      </c>
      <c r="Q831" s="7" t="s">
        <v>299</v>
      </c>
      <c r="S831" s="5" t="s">
        <v>200</v>
      </c>
      <c r="AE831" s="7" t="s">
        <v>284</v>
      </c>
      <c r="AG831" s="7" t="s">
        <v>299</v>
      </c>
    </row>
    <row r="832" spans="2:33" ht="6.75" customHeight="1">
      <c r="B832" s="43"/>
      <c r="C832" s="32"/>
      <c r="D832" s="32"/>
      <c r="E832" s="32"/>
      <c r="F832" s="32"/>
      <c r="G832" s="32"/>
      <c r="H832" s="32"/>
      <c r="I832" s="25"/>
      <c r="J832" s="32"/>
      <c r="K832" s="25"/>
      <c r="L832" s="32"/>
      <c r="M832" s="25"/>
      <c r="N832" s="32"/>
      <c r="O832" s="25"/>
      <c r="P832" s="32"/>
      <c r="Q832" s="25"/>
      <c r="S832" s="43"/>
      <c r="T832" s="32"/>
      <c r="U832" s="32"/>
      <c r="V832" s="32"/>
      <c r="W832" s="32"/>
      <c r="X832" s="32"/>
      <c r="Y832" s="25"/>
      <c r="Z832" s="32"/>
      <c r="AA832" s="25"/>
      <c r="AB832" s="32"/>
      <c r="AC832" s="25"/>
      <c r="AD832" s="32"/>
      <c r="AE832" s="25"/>
      <c r="AF832" s="32"/>
      <c r="AG832" s="25"/>
    </row>
    <row r="833" spans="2:33" ht="17.25" customHeight="1">
      <c r="B833" s="5"/>
      <c r="S833" s="5"/>
    </row>
    <row r="834" spans="2:33" ht="15" thickBot="1">
      <c r="I834" s="33"/>
      <c r="J834" s="34"/>
      <c r="K834" s="33"/>
      <c r="L834" s="34"/>
      <c r="M834" s="35" t="s">
        <v>58</v>
      </c>
      <c r="N834" s="34"/>
      <c r="O834" s="33"/>
      <c r="P834" s="34"/>
      <c r="Q834" s="33"/>
      <c r="Y834" s="33"/>
      <c r="Z834" s="34"/>
      <c r="AA834" s="33"/>
      <c r="AB834" s="34"/>
      <c r="AC834" s="35" t="s">
        <v>59</v>
      </c>
      <c r="AD834" s="34"/>
      <c r="AE834" s="33"/>
      <c r="AF834" s="34"/>
      <c r="AG834" s="33"/>
    </row>
    <row r="835" spans="2:33">
      <c r="B835" s="6" t="s">
        <v>180</v>
      </c>
      <c r="I835" s="8">
        <v>2019</v>
      </c>
      <c r="J835" s="8"/>
      <c r="K835" s="8">
        <v>2020</v>
      </c>
      <c r="L835" s="8"/>
      <c r="M835" s="8">
        <v>2021</v>
      </c>
      <c r="N835" s="8"/>
      <c r="O835" s="8">
        <v>2022</v>
      </c>
      <c r="P835" s="8"/>
      <c r="Q835" s="8">
        <v>2023</v>
      </c>
      <c r="S835" s="6" t="s">
        <v>201</v>
      </c>
      <c r="Y835" s="10">
        <v>43465</v>
      </c>
      <c r="Z835" s="8"/>
      <c r="AA835" s="10">
        <v>43830</v>
      </c>
      <c r="AB835" s="8"/>
      <c r="AC835" s="10">
        <v>44196</v>
      </c>
      <c r="AD835" s="8"/>
      <c r="AE835" s="10">
        <v>44561</v>
      </c>
      <c r="AF835" s="8"/>
      <c r="AG835" s="10">
        <v>44926</v>
      </c>
    </row>
    <row r="837" spans="2:33">
      <c r="C837" t="s">
        <v>86</v>
      </c>
      <c r="I837" s="7">
        <v>652800</v>
      </c>
      <c r="K837" s="7">
        <v>694579.20000000007</v>
      </c>
      <c r="M837" s="7">
        <v>739032.26880000008</v>
      </c>
      <c r="O837" s="7">
        <v>786330.33400320017</v>
      </c>
      <c r="Q837" s="7">
        <v>836655.47537940508</v>
      </c>
      <c r="T837" t="s">
        <v>281</v>
      </c>
      <c r="Y837" s="7">
        <v>1628485.3166666669</v>
      </c>
      <c r="AA837" s="7">
        <v>2267119.7936333334</v>
      </c>
      <c r="AC837" s="7">
        <v>2984898.7559823333</v>
      </c>
      <c r="AE837" s="7">
        <v>3781158.6196013368</v>
      </c>
      <c r="AG837" s="7">
        <v>4662342.9128653286</v>
      </c>
    </row>
    <row r="838" spans="2:33">
      <c r="C838" t="s">
        <v>181</v>
      </c>
      <c r="I838" s="7">
        <v>0</v>
      </c>
      <c r="K838" s="7">
        <v>0</v>
      </c>
      <c r="M838" s="7">
        <v>0</v>
      </c>
      <c r="O838" s="7">
        <v>0</v>
      </c>
      <c r="Q838" s="7">
        <v>0</v>
      </c>
      <c r="T838" t="s">
        <v>165</v>
      </c>
      <c r="Y838" s="7">
        <v>0</v>
      </c>
      <c r="AA838" s="7">
        <v>0</v>
      </c>
      <c r="AC838" s="7">
        <v>0</v>
      </c>
      <c r="AE838" s="7">
        <v>0</v>
      </c>
      <c r="AG838" s="7">
        <v>0</v>
      </c>
    </row>
    <row r="839" spans="2:33">
      <c r="C839" t="s">
        <v>110</v>
      </c>
      <c r="I839" s="7">
        <v>0</v>
      </c>
      <c r="K839" s="7">
        <v>0</v>
      </c>
      <c r="M839" s="7">
        <v>0</v>
      </c>
      <c r="O839" s="7">
        <v>0</v>
      </c>
      <c r="Q839" s="7">
        <v>0</v>
      </c>
      <c r="T839" t="s">
        <v>202</v>
      </c>
      <c r="Y839" s="7">
        <v>1725710</v>
      </c>
      <c r="AA839" s="7">
        <v>1725710</v>
      </c>
      <c r="AC839" s="7">
        <v>1725710</v>
      </c>
      <c r="AE839" s="7">
        <v>1725710</v>
      </c>
      <c r="AG839" s="7">
        <v>1725710</v>
      </c>
    </row>
    <row r="840" spans="2:33" ht="15" thickBot="1">
      <c r="C840" t="s">
        <v>125</v>
      </c>
      <c r="I840" s="54">
        <v>0</v>
      </c>
      <c r="K840" s="54">
        <v>0</v>
      </c>
      <c r="M840" s="54">
        <v>0</v>
      </c>
      <c r="O840" s="54">
        <v>0</v>
      </c>
      <c r="Q840" s="54">
        <v>0</v>
      </c>
      <c r="T840" t="s">
        <v>203</v>
      </c>
      <c r="Y840" s="54">
        <v>5000</v>
      </c>
      <c r="AA840" s="54">
        <v>5000</v>
      </c>
      <c r="AC840" s="54">
        <v>5000</v>
      </c>
      <c r="AE840" s="54">
        <v>5000</v>
      </c>
      <c r="AG840" s="54">
        <v>5000</v>
      </c>
    </row>
    <row r="841" spans="2:33" ht="15" thickTop="1"/>
    <row r="842" spans="2:33">
      <c r="C842" t="s">
        <v>182</v>
      </c>
      <c r="I842" s="7">
        <v>652800</v>
      </c>
      <c r="K842" s="7">
        <v>694579.20000000007</v>
      </c>
      <c r="M842" s="7">
        <v>739032.26880000008</v>
      </c>
      <c r="O842" s="7">
        <v>786330.33400320017</v>
      </c>
      <c r="Q842" s="7">
        <v>836655.47537940508</v>
      </c>
      <c r="T842" t="s">
        <v>166</v>
      </c>
      <c r="Y842" s="7">
        <v>3359195.3166666669</v>
      </c>
      <c r="AA842" s="7">
        <v>3997829.7936333334</v>
      </c>
      <c r="AC842" s="7">
        <v>4715608.7559823338</v>
      </c>
      <c r="AE842" s="7">
        <v>5511868.6196013372</v>
      </c>
      <c r="AG842" s="7">
        <v>6393052.9128653286</v>
      </c>
    </row>
    <row r="844" spans="2:33">
      <c r="B844" s="6" t="s">
        <v>183</v>
      </c>
      <c r="S844" s="6" t="s">
        <v>204</v>
      </c>
    </row>
    <row r="846" spans="2:33">
      <c r="C846" t="s">
        <v>184</v>
      </c>
      <c r="I846" s="7">
        <v>128479.89333333334</v>
      </c>
      <c r="K846" s="7">
        <v>152923.2466666667</v>
      </c>
      <c r="M846" s="7">
        <v>148191.6166666667</v>
      </c>
      <c r="O846" s="7">
        <v>150866.63333333336</v>
      </c>
      <c r="Q846" s="7">
        <v>153988.31000000003</v>
      </c>
      <c r="T846" t="s">
        <v>205</v>
      </c>
      <c r="Y846" s="7">
        <v>273019.77333333332</v>
      </c>
      <c r="AA846" s="7">
        <v>271763.1933333333</v>
      </c>
      <c r="AC846" s="7">
        <v>275238.24333333329</v>
      </c>
      <c r="AE846" s="7">
        <v>276038.27666666661</v>
      </c>
      <c r="AG846" s="7">
        <v>273716.6333333333</v>
      </c>
    </row>
    <row r="847" spans="2:33" ht="15" thickBot="1">
      <c r="C847" t="s">
        <v>185</v>
      </c>
      <c r="I847" s="54">
        <v>23186.773333333316</v>
      </c>
      <c r="K847" s="54">
        <v>-1256.5800000000163</v>
      </c>
      <c r="M847" s="54">
        <v>3475.0499999999884</v>
      </c>
      <c r="O847" s="54">
        <v>800.03333333332557</v>
      </c>
      <c r="Q847" s="54">
        <v>-2321.6433333333116</v>
      </c>
      <c r="T847" t="s">
        <v>206</v>
      </c>
      <c r="Y847" s="54">
        <v>420078</v>
      </c>
      <c r="AA847" s="54">
        <v>420078</v>
      </c>
      <c r="AC847" s="54">
        <v>420078</v>
      </c>
      <c r="AE847" s="54">
        <v>420078</v>
      </c>
      <c r="AG847" s="54">
        <v>420078</v>
      </c>
    </row>
    <row r="848" spans="2:33" ht="15" thickTop="1"/>
    <row r="849" spans="3:33">
      <c r="C849" t="s">
        <v>186</v>
      </c>
      <c r="I849" s="7">
        <v>151666.66666666666</v>
      </c>
      <c r="K849" s="7">
        <v>151666.66666666669</v>
      </c>
      <c r="M849" s="7">
        <v>151666.66666666669</v>
      </c>
      <c r="O849" s="7">
        <v>151666.66666666669</v>
      </c>
      <c r="Q849" s="7">
        <v>151666.66666666672</v>
      </c>
      <c r="T849" t="s">
        <v>167</v>
      </c>
      <c r="Y849" s="7">
        <v>693097.77333333332</v>
      </c>
      <c r="AA849" s="7">
        <v>691841.19333333336</v>
      </c>
      <c r="AC849" s="7">
        <v>695316.24333333329</v>
      </c>
      <c r="AE849" s="7">
        <v>696116.27666666661</v>
      </c>
      <c r="AG849" s="7">
        <v>693794.6333333333</v>
      </c>
    </row>
    <row r="851" spans="3:33">
      <c r="C851" t="s">
        <v>164</v>
      </c>
      <c r="I851" s="7">
        <v>501133.33333333337</v>
      </c>
      <c r="K851" s="7">
        <v>542912.53333333344</v>
      </c>
      <c r="M851" s="7">
        <v>587365.60213333345</v>
      </c>
      <c r="O851" s="7">
        <v>634663.66733653354</v>
      </c>
      <c r="Q851" s="7">
        <v>684988.80871273833</v>
      </c>
      <c r="S851" s="6" t="s">
        <v>169</v>
      </c>
      <c r="Y851" s="7">
        <v>2666097.5433333335</v>
      </c>
      <c r="AA851" s="7">
        <v>3305988.6003</v>
      </c>
      <c r="AC851" s="7">
        <v>4020292.5126490006</v>
      </c>
      <c r="AE851" s="7">
        <v>4815752.3429346709</v>
      </c>
      <c r="AG851" s="7">
        <v>5699258.2795319948</v>
      </c>
    </row>
    <row r="852" spans="3:33">
      <c r="S852" s="6"/>
    </row>
    <row r="853" spans="3:33" ht="6.75" customHeight="1">
      <c r="S853" s="32"/>
      <c r="T853" s="32"/>
      <c r="U853" s="32"/>
      <c r="V853" s="32"/>
      <c r="W853" s="32"/>
      <c r="X853" s="32"/>
      <c r="Y853" s="25"/>
      <c r="Z853" s="32"/>
      <c r="AA853" s="25"/>
      <c r="AB853" s="32"/>
      <c r="AC853" s="25"/>
      <c r="AD853" s="32"/>
      <c r="AE853" s="25"/>
      <c r="AF853" s="32"/>
      <c r="AG853" s="25"/>
    </row>
    <row r="854" spans="3:33" ht="26">
      <c r="C854" t="s">
        <v>163</v>
      </c>
      <c r="S854" s="23" t="s">
        <v>53</v>
      </c>
      <c r="X854" s="5"/>
      <c r="Y854"/>
      <c r="AA854"/>
      <c r="AC854"/>
      <c r="AE854" t="s">
        <v>284</v>
      </c>
      <c r="AG854" t="s">
        <v>299</v>
      </c>
    </row>
    <row r="855" spans="3:33" ht="15.75" customHeight="1">
      <c r="D855" t="s">
        <v>187</v>
      </c>
      <c r="I855" s="7">
        <v>63816.740000000005</v>
      </c>
      <c r="K855" s="7">
        <v>65731.242200000008</v>
      </c>
      <c r="M855" s="7">
        <v>67703.179466000016</v>
      </c>
      <c r="O855" s="7">
        <v>69734.274849980022</v>
      </c>
      <c r="Q855" s="7">
        <v>71826.303095479423</v>
      </c>
      <c r="S855" s="5"/>
    </row>
    <row r="856" spans="3:33" ht="15" thickBot="1">
      <c r="D856" t="s">
        <v>188</v>
      </c>
      <c r="I856" s="7">
        <v>0</v>
      </c>
      <c r="K856" s="7">
        <v>0</v>
      </c>
      <c r="M856" s="7">
        <v>0</v>
      </c>
      <c r="O856" s="7">
        <v>0</v>
      </c>
      <c r="Q856" s="7">
        <v>0</v>
      </c>
      <c r="Y856" s="33"/>
      <c r="Z856" s="34"/>
      <c r="AA856" s="33"/>
      <c r="AB856" s="34"/>
      <c r="AC856" s="35" t="s">
        <v>59</v>
      </c>
      <c r="AD856" s="34"/>
      <c r="AE856" s="33"/>
      <c r="AF856" s="34"/>
      <c r="AG856" s="33"/>
    </row>
    <row r="857" spans="3:33">
      <c r="D857" t="s">
        <v>189</v>
      </c>
      <c r="I857" s="7">
        <v>0</v>
      </c>
      <c r="K857" s="7">
        <v>0</v>
      </c>
      <c r="M857" s="7">
        <v>0</v>
      </c>
      <c r="O857" s="7">
        <v>0</v>
      </c>
      <c r="Q857" s="7">
        <v>0</v>
      </c>
      <c r="S857" s="22" t="s">
        <v>74</v>
      </c>
      <c r="Y857" s="10">
        <v>43465</v>
      </c>
      <c r="Z857" s="8"/>
      <c r="AA857" s="10">
        <v>43830</v>
      </c>
      <c r="AB857" s="8"/>
      <c r="AC857" s="10">
        <v>44196</v>
      </c>
      <c r="AD857" s="8"/>
      <c r="AE857" s="10">
        <v>44561</v>
      </c>
      <c r="AF857" s="8"/>
      <c r="AG857" s="10">
        <v>44926</v>
      </c>
    </row>
    <row r="858" spans="3:33">
      <c r="D858" t="s">
        <v>190</v>
      </c>
      <c r="I858" s="7">
        <v>0</v>
      </c>
      <c r="K858" s="7">
        <v>0</v>
      </c>
      <c r="M858" s="7">
        <v>0</v>
      </c>
      <c r="O858" s="7">
        <v>0</v>
      </c>
      <c r="Q858" s="7">
        <v>0</v>
      </c>
      <c r="Y858"/>
      <c r="AA858"/>
      <c r="AC858"/>
      <c r="AE858"/>
      <c r="AG858"/>
    </row>
    <row r="859" spans="3:33">
      <c r="D859" t="s">
        <v>111</v>
      </c>
      <c r="I859" s="7">
        <v>5000</v>
      </c>
      <c r="K859" s="7">
        <v>5000</v>
      </c>
      <c r="M859" s="7">
        <v>5000</v>
      </c>
      <c r="O859" s="7">
        <v>5000</v>
      </c>
      <c r="Q859" s="7">
        <v>5000</v>
      </c>
      <c r="S859" t="s">
        <v>115</v>
      </c>
      <c r="Y859" s="94">
        <v>0.24485225667468483</v>
      </c>
      <c r="AA859" s="94">
        <v>0.21009727617843899</v>
      </c>
      <c r="AC859" s="94">
        <v>0.18382549689476357</v>
      </c>
      <c r="AE859" s="94">
        <v>0.1632829676461349</v>
      </c>
      <c r="AG859" s="94">
        <v>0.14680076500202208</v>
      </c>
    </row>
    <row r="860" spans="3:33" ht="15" thickBot="1">
      <c r="D860" t="s">
        <v>191</v>
      </c>
      <c r="I860" s="54">
        <v>0</v>
      </c>
      <c r="K860" s="54">
        <v>0</v>
      </c>
      <c r="M860" s="54">
        <v>0</v>
      </c>
      <c r="O860" s="54">
        <v>0</v>
      </c>
      <c r="Q860" s="54">
        <v>0</v>
      </c>
      <c r="S860" t="s">
        <v>116</v>
      </c>
      <c r="Y860" s="94">
        <v>0.24485225667468483</v>
      </c>
      <c r="AA860" s="94">
        <v>0.21009727617843899</v>
      </c>
      <c r="AC860" s="94">
        <v>0.18382549689476357</v>
      </c>
      <c r="AE860" s="94">
        <v>0.1632829676461349</v>
      </c>
      <c r="AG860" s="94">
        <v>0.14680076500202208</v>
      </c>
    </row>
    <row r="861" spans="3:33" ht="15" thickTop="1">
      <c r="S861" t="s">
        <v>242</v>
      </c>
      <c r="Y861" s="94">
        <v>0.18754002502656619</v>
      </c>
      <c r="AA861" s="94">
        <v>0.15124069089488928</v>
      </c>
      <c r="AC861" s="94">
        <v>0.12436905982011401</v>
      </c>
      <c r="AE861" s="94">
        <v>0.10382593713183039</v>
      </c>
      <c r="AG861" s="94">
        <v>8.7730714327454273E-2</v>
      </c>
    </row>
    <row r="862" spans="3:33">
      <c r="D862" t="s">
        <v>192</v>
      </c>
      <c r="I862" s="7">
        <v>68816.740000000005</v>
      </c>
      <c r="K862" s="7">
        <v>70731.242200000008</v>
      </c>
      <c r="M862" s="7">
        <v>72703.179466000016</v>
      </c>
      <c r="O862" s="7">
        <v>74734.274849980022</v>
      </c>
      <c r="Q862" s="7">
        <v>76826.303095479423</v>
      </c>
      <c r="S862" t="s">
        <v>48</v>
      </c>
      <c r="Y862" s="94">
        <v>7.88953342215684E-2</v>
      </c>
      <c r="AA862" s="94">
        <v>6.7452653845692351E-2</v>
      </c>
      <c r="AC862" s="94">
        <v>4.9647116629889403E-2</v>
      </c>
      <c r="AE862" s="94">
        <v>3.9899578015915094E-2</v>
      </c>
      <c r="AG862" s="94">
        <v>3.3028096147772128E-2</v>
      </c>
    </row>
    <row r="863" spans="3:33">
      <c r="S863" t="s">
        <v>207</v>
      </c>
      <c r="Y863" s="97">
        <v>7465</v>
      </c>
      <c r="AA863" s="7">
        <v>41779.20000000007</v>
      </c>
      <c r="AC863" s="7">
        <v>44453.068800000008</v>
      </c>
      <c r="AE863" s="7">
        <v>47298.065203200094</v>
      </c>
      <c r="AG863" s="7">
        <v>50325.141376204905</v>
      </c>
    </row>
    <row r="864" spans="3:33">
      <c r="C864" t="s">
        <v>193</v>
      </c>
      <c r="I864" s="7">
        <v>432316.59333333338</v>
      </c>
      <c r="K864" s="7">
        <v>472181.29113333346</v>
      </c>
      <c r="M864" s="7">
        <v>514662.42266733345</v>
      </c>
      <c r="O864" s="7">
        <v>559929.39248655352</v>
      </c>
      <c r="Q864" s="7">
        <v>608162.50561725895</v>
      </c>
      <c r="S864" t="s">
        <v>118</v>
      </c>
      <c r="Y864" s="97">
        <v>570349.54333333345</v>
      </c>
      <c r="AA864" s="7">
        <v>639891.0569666666</v>
      </c>
      <c r="AC864" s="7">
        <v>714303.91234900057</v>
      </c>
      <c r="AE864" s="7">
        <v>795459.83028567024</v>
      </c>
      <c r="AG864" s="7">
        <v>883505.93659732398</v>
      </c>
    </row>
    <row r="865" spans="2:33">
      <c r="S865" t="s">
        <v>119</v>
      </c>
      <c r="Y865" s="94">
        <v>8.6968961024372956E-3</v>
      </c>
      <c r="AA865" s="94">
        <v>-4.7131808929577122E-4</v>
      </c>
      <c r="AC865" s="94">
        <v>1.0511379257885664E-3</v>
      </c>
      <c r="AE865" s="94">
        <v>1.9899878698283516E-4</v>
      </c>
      <c r="AG865" s="94">
        <v>-4.8209358953839505E-4</v>
      </c>
    </row>
    <row r="866" spans="2:33">
      <c r="B866" s="6" t="s">
        <v>168</v>
      </c>
      <c r="S866" t="s">
        <v>280</v>
      </c>
      <c r="Y866" s="94">
        <v>5.1773405794981527E-2</v>
      </c>
      <c r="AA866" s="94">
        <v>5.0729081708906873E-2</v>
      </c>
      <c r="AC866" s="94">
        <v>4.9658448745591756E-2</v>
      </c>
      <c r="AE866" s="94">
        <v>4.8908336855127153E-2</v>
      </c>
      <c r="AG866" s="94">
        <v>4.8312151770506746E-2</v>
      </c>
    </row>
    <row r="867" spans="2:33">
      <c r="S867" t="s">
        <v>124</v>
      </c>
      <c r="Y867" s="94">
        <v>0</v>
      </c>
      <c r="AA867" s="94">
        <v>0</v>
      </c>
      <c r="AC867" s="94">
        <v>0</v>
      </c>
      <c r="AE867" s="94">
        <v>0</v>
      </c>
      <c r="AG867" s="94">
        <v>0</v>
      </c>
    </row>
    <row r="868" spans="2:33">
      <c r="C868" t="s">
        <v>279</v>
      </c>
      <c r="I868" s="7">
        <v>138032.95000000001</v>
      </c>
      <c r="K868" s="7">
        <v>167709.76583333337</v>
      </c>
      <c r="M868" s="7">
        <v>199641.48968166669</v>
      </c>
      <c r="O868" s="7">
        <v>235530.43779911671</v>
      </c>
      <c r="Q868" s="7">
        <v>275343.43098006689</v>
      </c>
      <c r="S868" t="s">
        <v>127</v>
      </c>
      <c r="Y868" s="94">
        <v>8.6968961024372956E-3</v>
      </c>
      <c r="AA868" s="94">
        <v>-4.7131808929577122E-4</v>
      </c>
      <c r="AC868" s="94">
        <v>1.0511379257885664E-3</v>
      </c>
      <c r="AE868" s="94">
        <v>1.9899878698283516E-4</v>
      </c>
      <c r="AG868" s="94">
        <v>-4.8209358953839505E-4</v>
      </c>
    </row>
    <row r="869" spans="2:33" ht="15" thickBot="1">
      <c r="C869" t="s">
        <v>194</v>
      </c>
      <c r="I869" s="54">
        <v>0</v>
      </c>
      <c r="K869" s="54">
        <v>0</v>
      </c>
      <c r="M869" s="54">
        <v>0</v>
      </c>
      <c r="O869" s="54">
        <v>0</v>
      </c>
      <c r="Q869" s="54">
        <v>0</v>
      </c>
      <c r="S869" t="s">
        <v>128</v>
      </c>
      <c r="Y869" s="94">
        <v>0.42560885642618468</v>
      </c>
      <c r="AA869" s="94">
        <v>0.30516305105544256</v>
      </c>
      <c r="AC869" s="94">
        <v>0.23294466585835805</v>
      </c>
      <c r="AE869" s="94">
        <v>0.18410131568086954</v>
      </c>
      <c r="AG869" s="94">
        <v>0.14880815210285531</v>
      </c>
    </row>
    <row r="870" spans="2:33" ht="15" thickTop="1">
      <c r="S870" t="s">
        <v>73</v>
      </c>
      <c r="Y870" s="94">
        <v>0.23233251633986926</v>
      </c>
      <c r="AA870" s="94">
        <v>0.21835762813897489</v>
      </c>
      <c r="AC870" s="94">
        <v>0.20522333471708168</v>
      </c>
      <c r="AE870" s="94">
        <v>0.1928790739822196</v>
      </c>
      <c r="AG870" s="94">
        <v>0.18127732517125902</v>
      </c>
    </row>
    <row r="871" spans="2:33">
      <c r="C871" t="s">
        <v>195</v>
      </c>
      <c r="I871" s="7">
        <v>138032.95000000001</v>
      </c>
      <c r="K871" s="7">
        <v>167709.76583333337</v>
      </c>
      <c r="M871" s="7">
        <v>199641.48968166669</v>
      </c>
      <c r="O871" s="7">
        <v>235530.43779911671</v>
      </c>
      <c r="Q871" s="7">
        <v>275343.43098006689</v>
      </c>
      <c r="S871" t="s">
        <v>132</v>
      </c>
      <c r="Y871" s="94">
        <v>0.10541780024509805</v>
      </c>
      <c r="AA871" s="94">
        <v>0.1018332282337277</v>
      </c>
      <c r="AC871" s="94">
        <v>9.8376190777232822E-2</v>
      </c>
      <c r="AE871" s="94">
        <v>9.5041831172286775E-2</v>
      </c>
      <c r="AG871" s="94">
        <v>9.1825494909526961E-2</v>
      </c>
    </row>
    <row r="872" spans="2:33">
      <c r="S872" t="s">
        <v>134</v>
      </c>
      <c r="Y872" s="94">
        <v>0</v>
      </c>
      <c r="AA872" s="94">
        <v>0</v>
      </c>
      <c r="AC872" s="94">
        <v>0</v>
      </c>
      <c r="AE872" s="94">
        <v>0</v>
      </c>
      <c r="AG872" s="94">
        <v>0</v>
      </c>
    </row>
    <row r="873" spans="2:33">
      <c r="B873" s="6" t="s">
        <v>112</v>
      </c>
      <c r="I873" s="7">
        <v>570349.54333333345</v>
      </c>
      <c r="K873" s="7">
        <v>639891.05696666683</v>
      </c>
      <c r="M873" s="7">
        <v>714303.91234900011</v>
      </c>
      <c r="O873" s="7">
        <v>795459.83028567024</v>
      </c>
      <c r="Q873" s="7">
        <v>883505.93659732584</v>
      </c>
      <c r="S873" t="s">
        <v>135</v>
      </c>
      <c r="Y873" s="94">
        <v>0.44316811683006535</v>
      </c>
      <c r="AA873" s="94">
        <v>0.42202408460643032</v>
      </c>
      <c r="AC873" s="94">
        <v>0.40197571627154732</v>
      </c>
      <c r="AE873" s="94">
        <v>0.38296273632679312</v>
      </c>
      <c r="AG873" s="94">
        <v>0.36492831499031297</v>
      </c>
    </row>
    <row r="874" spans="2:33">
      <c r="B874" s="6"/>
      <c r="S874" t="s">
        <v>47</v>
      </c>
      <c r="Y874" s="94">
        <v>0.21144753370098041</v>
      </c>
      <c r="AA874" s="94">
        <v>0.24145520889962346</v>
      </c>
      <c r="AC874" s="94">
        <v>0.27013906984851088</v>
      </c>
      <c r="AE874" s="94">
        <v>0.29953116090540921</v>
      </c>
      <c r="AG874" s="94">
        <v>0.32910013629589241</v>
      </c>
    </row>
    <row r="875" spans="2:33">
      <c r="B875" s="6" t="s">
        <v>196</v>
      </c>
      <c r="I875" s="7">
        <v>0</v>
      </c>
      <c r="K875" s="7">
        <v>0</v>
      </c>
      <c r="M875" s="7">
        <v>0</v>
      </c>
      <c r="O875" s="7">
        <v>0</v>
      </c>
      <c r="Q875" s="7">
        <v>0</v>
      </c>
      <c r="S875" t="s">
        <v>114</v>
      </c>
      <c r="Y875" s="94">
        <v>0.23172058312908494</v>
      </c>
      <c r="AA875" s="94">
        <v>0.18056887570680685</v>
      </c>
      <c r="AC875" s="94">
        <v>0.13183664642303644</v>
      </c>
      <c r="AE875" s="94">
        <v>8.3431575421383908E-2</v>
      </c>
      <c r="AG875" s="94">
        <v>3.5828178694420565E-2</v>
      </c>
    </row>
    <row r="876" spans="2:33">
      <c r="B876" s="6"/>
      <c r="S876" t="s">
        <v>38</v>
      </c>
      <c r="Y876" s="94">
        <v>4.8466398910953075</v>
      </c>
      <c r="AA876" s="94">
        <v>5.778536797399334</v>
      </c>
      <c r="AC876" s="94">
        <v>6.7819625978760287</v>
      </c>
      <c r="AE876" s="94">
        <v>7.9180286460112193</v>
      </c>
      <c r="AG876" s="94">
        <v>9.2146185711324016</v>
      </c>
    </row>
    <row r="877" spans="2:33">
      <c r="B877" s="6" t="s">
        <v>113</v>
      </c>
      <c r="I877" s="7">
        <v>0</v>
      </c>
      <c r="K877" s="7">
        <v>0</v>
      </c>
      <c r="M877" s="7">
        <v>0</v>
      </c>
      <c r="O877" s="7">
        <v>0</v>
      </c>
      <c r="Q877" s="7">
        <v>0</v>
      </c>
      <c r="S877" t="s">
        <v>39</v>
      </c>
      <c r="Y877" s="7">
        <v>455503.3666666667</v>
      </c>
      <c r="AA877" s="7">
        <v>470924.71113333339</v>
      </c>
      <c r="AC877" s="7">
        <v>518137.47266733338</v>
      </c>
      <c r="AE877" s="7">
        <v>560729.42581988673</v>
      </c>
      <c r="AG877" s="7">
        <v>605840.86228392564</v>
      </c>
    </row>
    <row r="878" spans="2:33">
      <c r="B878" s="6"/>
      <c r="S878" t="s">
        <v>44</v>
      </c>
      <c r="Y878" s="7">
        <v>455503.3666666667</v>
      </c>
      <c r="AA878" s="7">
        <v>470924.71113333339</v>
      </c>
      <c r="AC878" s="7">
        <v>518137.47266733338</v>
      </c>
      <c r="AE878" s="7">
        <v>560729.42581988673</v>
      </c>
      <c r="AG878" s="7">
        <v>605840.86228392564</v>
      </c>
    </row>
    <row r="879" spans="2:33">
      <c r="B879" s="6" t="s">
        <v>162</v>
      </c>
      <c r="I879" s="7">
        <v>570349.54333333345</v>
      </c>
      <c r="K879" s="7">
        <v>639891.05696666683</v>
      </c>
      <c r="M879" s="7">
        <v>714303.91234900011</v>
      </c>
      <c r="O879" s="7">
        <v>795459.83028567024</v>
      </c>
      <c r="Q879" s="7">
        <v>883505.93659732584</v>
      </c>
      <c r="S879" t="s">
        <v>51</v>
      </c>
      <c r="Y879" s="94">
        <v>0.87369721711601323</v>
      </c>
      <c r="AA879" s="94">
        <v>0.92126435252692096</v>
      </c>
      <c r="AC879" s="94">
        <v>0.96653954435419642</v>
      </c>
      <c r="AE879" s="94">
        <v>1.011610255750903</v>
      </c>
      <c r="AG879" s="94">
        <v>1.0559973162151064</v>
      </c>
    </row>
    <row r="881" spans="2:33" ht="6.75" customHeight="1">
      <c r="B881" s="32"/>
      <c r="C881" s="32"/>
      <c r="D881" s="32"/>
      <c r="E881" s="32"/>
      <c r="F881" s="32"/>
      <c r="G881" s="32"/>
      <c r="H881" s="32"/>
      <c r="I881" s="25"/>
      <c r="J881" s="32"/>
      <c r="K881" s="25"/>
      <c r="L881" s="32"/>
      <c r="M881" s="25"/>
      <c r="N881" s="32"/>
      <c r="O881" s="25"/>
      <c r="P881" s="32"/>
      <c r="Q881" s="25"/>
      <c r="S881" s="32"/>
      <c r="T881" s="32"/>
      <c r="U881" s="32"/>
      <c r="V881" s="32"/>
      <c r="W881" s="32"/>
      <c r="X881" s="32"/>
      <c r="Y881" s="25"/>
      <c r="Z881" s="32"/>
      <c r="AA881" s="25"/>
      <c r="AB881" s="32"/>
      <c r="AC881" s="25"/>
      <c r="AD881" s="32"/>
      <c r="AE881" s="25"/>
      <c r="AF881" s="32"/>
      <c r="AG881" s="25"/>
    </row>
    <row r="884" spans="2:33" ht="26">
      <c r="B884" s="5" t="s">
        <v>198</v>
      </c>
      <c r="S884" s="5">
        <v>0</v>
      </c>
    </row>
    <row r="886" spans="2:33" ht="26">
      <c r="B886" s="5" t="s">
        <v>179</v>
      </c>
      <c r="O886" s="7" t="s">
        <v>284</v>
      </c>
      <c r="Q886" s="7" t="s">
        <v>300</v>
      </c>
      <c r="S886" s="5" t="s">
        <v>200</v>
      </c>
      <c r="AE886" s="7" t="s">
        <v>284</v>
      </c>
      <c r="AG886" s="7" t="s">
        <v>300</v>
      </c>
    </row>
    <row r="887" spans="2:33" ht="6.75" customHeight="1">
      <c r="B887" s="43"/>
      <c r="C887" s="32"/>
      <c r="D887" s="32"/>
      <c r="E887" s="32"/>
      <c r="F887" s="32"/>
      <c r="G887" s="32"/>
      <c r="H887" s="32"/>
      <c r="I887" s="25"/>
      <c r="J887" s="32"/>
      <c r="K887" s="25"/>
      <c r="L887" s="32"/>
      <c r="M887" s="25"/>
      <c r="N887" s="32"/>
      <c r="O887" s="25"/>
      <c r="P887" s="32"/>
      <c r="Q887" s="25"/>
      <c r="S887" s="43"/>
      <c r="T887" s="32"/>
      <c r="U887" s="32"/>
      <c r="V887" s="32"/>
      <c r="W887" s="32"/>
      <c r="X887" s="32"/>
      <c r="Y887" s="25"/>
      <c r="Z887" s="32"/>
      <c r="AA887" s="25"/>
      <c r="AB887" s="32"/>
      <c r="AC887" s="25"/>
      <c r="AD887" s="32"/>
      <c r="AE887" s="25"/>
      <c r="AF887" s="32"/>
      <c r="AG887" s="25"/>
    </row>
    <row r="888" spans="2:33" ht="17.25" customHeight="1">
      <c r="B888" s="5"/>
      <c r="S888" s="5"/>
    </row>
    <row r="889" spans="2:33" ht="15" thickBot="1">
      <c r="I889" s="33"/>
      <c r="J889" s="34"/>
      <c r="K889" s="33"/>
      <c r="L889" s="34"/>
      <c r="M889" s="35" t="s">
        <v>58</v>
      </c>
      <c r="N889" s="34"/>
      <c r="O889" s="33"/>
      <c r="P889" s="34"/>
      <c r="Q889" s="33"/>
      <c r="Y889" s="33"/>
      <c r="Z889" s="34"/>
      <c r="AA889" s="33"/>
      <c r="AB889" s="34"/>
      <c r="AC889" s="35" t="s">
        <v>59</v>
      </c>
      <c r="AD889" s="34"/>
      <c r="AE889" s="33"/>
      <c r="AF889" s="34"/>
      <c r="AG889" s="33"/>
    </row>
    <row r="890" spans="2:33">
      <c r="B890" s="6" t="s">
        <v>180</v>
      </c>
      <c r="I890" s="8">
        <v>2019</v>
      </c>
      <c r="J890" s="8"/>
      <c r="K890" s="8">
        <v>2020</v>
      </c>
      <c r="L890" s="8"/>
      <c r="M890" s="8">
        <v>2021</v>
      </c>
      <c r="N890" s="8"/>
      <c r="O890" s="8">
        <v>2022</v>
      </c>
      <c r="P890" s="8"/>
      <c r="Q890" s="8">
        <v>2023</v>
      </c>
      <c r="S890" s="6" t="s">
        <v>201</v>
      </c>
      <c r="Y890" s="10">
        <v>43465</v>
      </c>
      <c r="Z890" s="8"/>
      <c r="AA890" s="10">
        <v>43830</v>
      </c>
      <c r="AB890" s="8"/>
      <c r="AC890" s="10">
        <v>44196</v>
      </c>
      <c r="AD890" s="8"/>
      <c r="AE890" s="10">
        <v>44561</v>
      </c>
      <c r="AF890" s="8"/>
      <c r="AG890" s="10">
        <v>44926</v>
      </c>
    </row>
    <row r="892" spans="2:33">
      <c r="C892" t="s">
        <v>86</v>
      </c>
      <c r="I892" s="7">
        <v>652800</v>
      </c>
      <c r="K892" s="7">
        <v>694579.20000000007</v>
      </c>
      <c r="M892" s="7">
        <v>739032.26880000008</v>
      </c>
      <c r="O892" s="7">
        <v>786330.33400320017</v>
      </c>
      <c r="Q892" s="7">
        <v>836655.47537940508</v>
      </c>
      <c r="T892" t="s">
        <v>281</v>
      </c>
      <c r="Y892" s="7">
        <v>1624942.8686666666</v>
      </c>
      <c r="AA892" s="7">
        <v>2256979.5362333334</v>
      </c>
      <c r="AC892" s="7">
        <v>2966170.2762123332</v>
      </c>
      <c r="AE892" s="7">
        <v>3752305.491342837</v>
      </c>
      <c r="AG892" s="7">
        <v>4622083.9931939049</v>
      </c>
    </row>
    <row r="893" spans="2:33">
      <c r="C893" t="s">
        <v>181</v>
      </c>
      <c r="I893" s="7">
        <v>0</v>
      </c>
      <c r="K893" s="7">
        <v>0</v>
      </c>
      <c r="M893" s="7">
        <v>0</v>
      </c>
      <c r="O893" s="7">
        <v>0</v>
      </c>
      <c r="Q893" s="7">
        <v>0</v>
      </c>
      <c r="T893" t="s">
        <v>165</v>
      </c>
      <c r="Y893" s="7">
        <v>0</v>
      </c>
      <c r="AA893" s="7">
        <v>0</v>
      </c>
      <c r="AC893" s="7">
        <v>0</v>
      </c>
      <c r="AE893" s="7">
        <v>0</v>
      </c>
      <c r="AG893" s="7">
        <v>0</v>
      </c>
    </row>
    <row r="894" spans="2:33">
      <c r="C894" t="s">
        <v>110</v>
      </c>
      <c r="I894" s="7">
        <v>0</v>
      </c>
      <c r="K894" s="7">
        <v>0</v>
      </c>
      <c r="M894" s="7">
        <v>0</v>
      </c>
      <c r="O894" s="7">
        <v>0</v>
      </c>
      <c r="Q894" s="7">
        <v>0</v>
      </c>
      <c r="T894" t="s">
        <v>202</v>
      </c>
      <c r="Y894" s="7">
        <v>1725710</v>
      </c>
      <c r="AA894" s="7">
        <v>1725710</v>
      </c>
      <c r="AC894" s="7">
        <v>1725710</v>
      </c>
      <c r="AE894" s="7">
        <v>1725710</v>
      </c>
      <c r="AG894" s="7">
        <v>1725710</v>
      </c>
    </row>
    <row r="895" spans="2:33" ht="15" thickBot="1">
      <c r="C895" t="s">
        <v>125</v>
      </c>
      <c r="I895" s="54">
        <v>0</v>
      </c>
      <c r="K895" s="54">
        <v>0</v>
      </c>
      <c r="M895" s="54">
        <v>0</v>
      </c>
      <c r="O895" s="54">
        <v>0</v>
      </c>
      <c r="Q895" s="54">
        <v>0</v>
      </c>
      <c r="T895" t="s">
        <v>203</v>
      </c>
      <c r="Y895" s="54">
        <v>5000</v>
      </c>
      <c r="AA895" s="54">
        <v>5000</v>
      </c>
      <c r="AC895" s="54">
        <v>5000</v>
      </c>
      <c r="AE895" s="54">
        <v>5000</v>
      </c>
      <c r="AG895" s="54">
        <v>5000</v>
      </c>
    </row>
    <row r="896" spans="2:33" ht="15" thickTop="1"/>
    <row r="897" spans="2:33">
      <c r="C897" t="s">
        <v>182</v>
      </c>
      <c r="I897" s="7">
        <v>652800</v>
      </c>
      <c r="K897" s="7">
        <v>694579.20000000007</v>
      </c>
      <c r="M897" s="7">
        <v>739032.26880000008</v>
      </c>
      <c r="O897" s="7">
        <v>786330.33400320017</v>
      </c>
      <c r="Q897" s="7">
        <v>836655.47537940508</v>
      </c>
      <c r="T897" t="s">
        <v>166</v>
      </c>
      <c r="Y897" s="7">
        <v>3355652.8686666666</v>
      </c>
      <c r="AA897" s="7">
        <v>3987689.5362333334</v>
      </c>
      <c r="AC897" s="7">
        <v>4696880.2762123328</v>
      </c>
      <c r="AE897" s="7">
        <v>5483015.491342837</v>
      </c>
      <c r="AG897" s="7">
        <v>6352793.9931939049</v>
      </c>
    </row>
    <row r="899" spans="2:33">
      <c r="B899" s="6" t="s">
        <v>183</v>
      </c>
      <c r="S899" s="6" t="s">
        <v>204</v>
      </c>
    </row>
    <row r="901" spans="2:33">
      <c r="C901" t="s">
        <v>184</v>
      </c>
      <c r="I901" s="7">
        <v>132022.34133333334</v>
      </c>
      <c r="K901" s="7">
        <v>159343.93366666668</v>
      </c>
      <c r="M901" s="7">
        <v>156272.82616666669</v>
      </c>
      <c r="O901" s="7">
        <v>160054.85783333337</v>
      </c>
      <c r="Q901" s="7">
        <v>163951.44500000004</v>
      </c>
      <c r="T901" t="s">
        <v>205</v>
      </c>
      <c r="Y901" s="7">
        <v>280547.47533333336</v>
      </c>
      <c r="AA901" s="7">
        <v>283940.3583333334</v>
      </c>
      <c r="AC901" s="7">
        <v>290404.34883333341</v>
      </c>
      <c r="AE901" s="7">
        <v>293086.30766666675</v>
      </c>
      <c r="AG901" s="7">
        <v>291871.67933333339</v>
      </c>
    </row>
    <row r="902" spans="2:33" ht="15" thickBot="1">
      <c r="C902" t="s">
        <v>185</v>
      </c>
      <c r="I902" s="54">
        <v>30714.475333333365</v>
      </c>
      <c r="K902" s="54">
        <v>3392.8830000000307</v>
      </c>
      <c r="M902" s="54">
        <v>6463.9905000000144</v>
      </c>
      <c r="O902" s="54">
        <v>2681.9588333333377</v>
      </c>
      <c r="Q902" s="54">
        <v>-1214.6283333333558</v>
      </c>
      <c r="T902" t="s">
        <v>206</v>
      </c>
      <c r="Y902" s="54">
        <v>420078</v>
      </c>
      <c r="AA902" s="54">
        <v>420078</v>
      </c>
      <c r="AC902" s="54">
        <v>420078</v>
      </c>
      <c r="AE902" s="54">
        <v>420078</v>
      </c>
      <c r="AG902" s="54">
        <v>420078</v>
      </c>
    </row>
    <row r="903" spans="2:33" ht="15" thickTop="1"/>
    <row r="904" spans="2:33">
      <c r="C904" t="s">
        <v>186</v>
      </c>
      <c r="I904" s="7">
        <v>162736.81666666671</v>
      </c>
      <c r="K904" s="7">
        <v>162736.81666666671</v>
      </c>
      <c r="M904" s="7">
        <v>162736.81666666671</v>
      </c>
      <c r="O904" s="7">
        <v>162736.81666666671</v>
      </c>
      <c r="Q904" s="7">
        <v>162736.81666666668</v>
      </c>
      <c r="T904" t="s">
        <v>167</v>
      </c>
      <c r="Y904" s="7">
        <v>700625.47533333336</v>
      </c>
      <c r="AA904" s="7">
        <v>704018.3583333334</v>
      </c>
      <c r="AC904" s="7">
        <v>710482.34883333347</v>
      </c>
      <c r="AE904" s="7">
        <v>713164.30766666681</v>
      </c>
      <c r="AG904" s="7">
        <v>711949.67933333339</v>
      </c>
    </row>
    <row r="906" spans="2:33">
      <c r="C906" t="s">
        <v>164</v>
      </c>
      <c r="I906" s="7">
        <v>490063.18333333329</v>
      </c>
      <c r="K906" s="7">
        <v>531842.3833333333</v>
      </c>
      <c r="M906" s="7">
        <v>576295.45213333331</v>
      </c>
      <c r="O906" s="7">
        <v>623593.5173365334</v>
      </c>
      <c r="Q906" s="7">
        <v>673918.65871273843</v>
      </c>
      <c r="S906" s="6" t="s">
        <v>169</v>
      </c>
      <c r="Y906" s="7">
        <v>2655027.3933333331</v>
      </c>
      <c r="AA906" s="7">
        <v>3283671.1779</v>
      </c>
      <c r="AC906" s="7">
        <v>3986397.9273789991</v>
      </c>
      <c r="AE906" s="7">
        <v>4769851.1836761702</v>
      </c>
      <c r="AG906" s="7">
        <v>5640844.313860571</v>
      </c>
    </row>
    <row r="907" spans="2:33">
      <c r="S907" s="6"/>
    </row>
    <row r="908" spans="2:33" ht="6.75" customHeight="1">
      <c r="S908" s="32"/>
      <c r="T908" s="32"/>
      <c r="U908" s="32"/>
      <c r="V908" s="32"/>
      <c r="W908" s="32"/>
      <c r="X908" s="32"/>
      <c r="Y908" s="25"/>
      <c r="Z908" s="32"/>
      <c r="AA908" s="25"/>
      <c r="AB908" s="32"/>
      <c r="AC908" s="25"/>
      <c r="AD908" s="32"/>
      <c r="AE908" s="25"/>
      <c r="AF908" s="32"/>
      <c r="AG908" s="25"/>
    </row>
    <row r="909" spans="2:33" ht="26">
      <c r="C909" t="s">
        <v>163</v>
      </c>
      <c r="S909" s="23" t="s">
        <v>53</v>
      </c>
      <c r="X909" s="5"/>
      <c r="Y909"/>
      <c r="AA909"/>
      <c r="AC909"/>
      <c r="AE909" t="s">
        <v>284</v>
      </c>
      <c r="AG909" t="s">
        <v>300</v>
      </c>
    </row>
    <row r="910" spans="2:33" ht="15.75" customHeight="1">
      <c r="D910" t="s">
        <v>187</v>
      </c>
      <c r="I910" s="7">
        <v>63816.740000000005</v>
      </c>
      <c r="K910" s="7">
        <v>65731.242200000008</v>
      </c>
      <c r="M910" s="7">
        <v>67703.179466000016</v>
      </c>
      <c r="O910" s="7">
        <v>69734.274849980022</v>
      </c>
      <c r="Q910" s="7">
        <v>71826.303095479423</v>
      </c>
      <c r="S910" s="5"/>
    </row>
    <row r="911" spans="2:33" ht="15" thickBot="1">
      <c r="D911" t="s">
        <v>188</v>
      </c>
      <c r="I911" s="7">
        <v>0</v>
      </c>
      <c r="K911" s="7">
        <v>0</v>
      </c>
      <c r="M911" s="7">
        <v>0</v>
      </c>
      <c r="O911" s="7">
        <v>0</v>
      </c>
      <c r="Q911" s="7">
        <v>0</v>
      </c>
      <c r="Y911" s="33"/>
      <c r="Z911" s="34"/>
      <c r="AA911" s="33"/>
      <c r="AB911" s="34"/>
      <c r="AC911" s="35" t="s">
        <v>59</v>
      </c>
      <c r="AD911" s="34"/>
      <c r="AE911" s="33"/>
      <c r="AF911" s="34"/>
      <c r="AG911" s="33"/>
    </row>
    <row r="912" spans="2:33">
      <c r="D912" t="s">
        <v>189</v>
      </c>
      <c r="I912" s="7">
        <v>0</v>
      </c>
      <c r="K912" s="7">
        <v>0</v>
      </c>
      <c r="M912" s="7">
        <v>0</v>
      </c>
      <c r="O912" s="7">
        <v>0</v>
      </c>
      <c r="Q912" s="7">
        <v>0</v>
      </c>
      <c r="S912" s="22" t="s">
        <v>74</v>
      </c>
      <c r="Y912" s="10">
        <v>43465</v>
      </c>
      <c r="Z912" s="8"/>
      <c r="AA912" s="10">
        <v>43830</v>
      </c>
      <c r="AB912" s="8"/>
      <c r="AC912" s="10">
        <v>44196</v>
      </c>
      <c r="AD912" s="8"/>
      <c r="AE912" s="10">
        <v>44561</v>
      </c>
      <c r="AF912" s="8"/>
      <c r="AG912" s="10">
        <v>44926</v>
      </c>
    </row>
    <row r="913" spans="2:33">
      <c r="D913" t="s">
        <v>190</v>
      </c>
      <c r="I913" s="7">
        <v>0</v>
      </c>
      <c r="K913" s="7">
        <v>0</v>
      </c>
      <c r="M913" s="7">
        <v>0</v>
      </c>
      <c r="O913" s="7">
        <v>0</v>
      </c>
      <c r="Q913" s="7">
        <v>0</v>
      </c>
      <c r="Y913"/>
      <c r="AA913"/>
      <c r="AC913"/>
      <c r="AE913"/>
      <c r="AG913"/>
    </row>
    <row r="914" spans="2:33">
      <c r="D914" t="s">
        <v>111</v>
      </c>
      <c r="I914" s="7">
        <v>5000</v>
      </c>
      <c r="K914" s="7">
        <v>5000</v>
      </c>
      <c r="M914" s="7">
        <v>5000</v>
      </c>
      <c r="O914" s="7">
        <v>5000</v>
      </c>
      <c r="Q914" s="7">
        <v>5000</v>
      </c>
      <c r="S914" t="s">
        <v>115</v>
      </c>
      <c r="Y914" s="94">
        <v>0.24587316938392217</v>
      </c>
      <c r="AA914" s="94">
        <v>0.21152519919616403</v>
      </c>
      <c r="AC914" s="94">
        <v>0.18538848410597672</v>
      </c>
      <c r="AE914" s="94">
        <v>0.16485426981333365</v>
      </c>
      <c r="AG914" s="94">
        <v>0.14832096559084104</v>
      </c>
    </row>
    <row r="915" spans="2:33" ht="15" thickBot="1">
      <c r="D915" t="s">
        <v>191</v>
      </c>
      <c r="I915" s="54">
        <v>0</v>
      </c>
      <c r="K915" s="54">
        <v>0</v>
      </c>
      <c r="M915" s="54">
        <v>0</v>
      </c>
      <c r="O915" s="54">
        <v>0</v>
      </c>
      <c r="Q915" s="54">
        <v>0</v>
      </c>
      <c r="S915" t="s">
        <v>116</v>
      </c>
      <c r="Y915" s="94">
        <v>0.24587316938392217</v>
      </c>
      <c r="AA915" s="94">
        <v>0.21152519919616403</v>
      </c>
      <c r="AC915" s="94">
        <v>0.18538848410597672</v>
      </c>
      <c r="AE915" s="94">
        <v>0.16485426981333365</v>
      </c>
      <c r="AG915" s="94">
        <v>0.14832096559084104</v>
      </c>
    </row>
    <row r="916" spans="2:33" ht="15" thickTop="1">
      <c r="S916" t="s">
        <v>242</v>
      </c>
      <c r="Y916" s="94">
        <v>0.18832197409920512</v>
      </c>
      <c r="AA916" s="94">
        <v>0.15226859600472056</v>
      </c>
      <c r="AC916" s="94">
        <v>0.12542651514188977</v>
      </c>
      <c r="AE916" s="94">
        <v>0.10482507330860691</v>
      </c>
      <c r="AG916" s="94">
        <v>8.8639212887228577E-2</v>
      </c>
    </row>
    <row r="917" spans="2:33">
      <c r="D917" t="s">
        <v>192</v>
      </c>
      <c r="I917" s="7">
        <v>68816.740000000005</v>
      </c>
      <c r="K917" s="7">
        <v>70731.242200000008</v>
      </c>
      <c r="M917" s="7">
        <v>72703.179466000016</v>
      </c>
      <c r="O917" s="7">
        <v>74734.274849980022</v>
      </c>
      <c r="Q917" s="7">
        <v>76826.303095479423</v>
      </c>
      <c r="S917" t="s">
        <v>48</v>
      </c>
      <c r="Y917" s="94">
        <v>8.1247374217939844E-2</v>
      </c>
      <c r="AA917" s="94">
        <v>7.0600522117535591E-2</v>
      </c>
      <c r="AC917" s="94">
        <v>5.2685048940015709E-2</v>
      </c>
      <c r="AE917" s="94">
        <v>4.2655071182931471E-2</v>
      </c>
      <c r="AG917" s="94">
        <v>3.5471325324555165E-2</v>
      </c>
    </row>
    <row r="918" spans="2:33">
      <c r="S918" t="s">
        <v>207</v>
      </c>
      <c r="Y918" s="97">
        <v>7465</v>
      </c>
      <c r="AA918" s="7">
        <v>41779.20000000007</v>
      </c>
      <c r="AC918" s="7">
        <v>44453.068800000008</v>
      </c>
      <c r="AE918" s="7">
        <v>47298.065203200094</v>
      </c>
      <c r="AG918" s="7">
        <v>50325.141376204905</v>
      </c>
    </row>
    <row r="919" spans="2:33">
      <c r="C919" t="s">
        <v>193</v>
      </c>
      <c r="I919" s="7">
        <v>421246.4433333333</v>
      </c>
      <c r="K919" s="7">
        <v>461111.14113333332</v>
      </c>
      <c r="M919" s="7">
        <v>503592.27266733331</v>
      </c>
      <c r="O919" s="7">
        <v>548859.24248655338</v>
      </c>
      <c r="Q919" s="7">
        <v>597092.35561725905</v>
      </c>
      <c r="S919" t="s">
        <v>118</v>
      </c>
      <c r="Y919" s="97">
        <v>559279.39333333308</v>
      </c>
      <c r="AA919" s="7">
        <v>628643.78456666693</v>
      </c>
      <c r="AC919" s="7">
        <v>702726.74947899906</v>
      </c>
      <c r="AE919" s="7">
        <v>783453.25629717112</v>
      </c>
      <c r="AG919" s="7">
        <v>870993.13018440083</v>
      </c>
    </row>
    <row r="920" spans="2:33">
      <c r="S920" t="s">
        <v>119</v>
      </c>
      <c r="Y920" s="94">
        <v>1.156842125638936E-2</v>
      </c>
      <c r="AA920" s="94">
        <v>1.2779088488952782E-3</v>
      </c>
      <c r="AC920" s="94">
        <v>1.9685255160457075E-3</v>
      </c>
      <c r="AE920" s="94">
        <v>6.7277750043801779E-4</v>
      </c>
      <c r="AG920" s="94">
        <v>-2.5464700816876015E-4</v>
      </c>
    </row>
    <row r="921" spans="2:33">
      <c r="B921" s="6" t="s">
        <v>168</v>
      </c>
      <c r="S921" t="s">
        <v>280</v>
      </c>
      <c r="Y921" s="94">
        <v>5.198927526947375E-2</v>
      </c>
      <c r="AA921" s="94">
        <v>5.1019920801106275E-2</v>
      </c>
      <c r="AC921" s="94">
        <v>4.9953486942181616E-2</v>
      </c>
      <c r="AE921" s="94">
        <v>4.9182669390916464E-2</v>
      </c>
      <c r="AG921" s="94">
        <v>4.8556698133667378E-2</v>
      </c>
    </row>
    <row r="922" spans="2:33">
      <c r="S922" t="s">
        <v>124</v>
      </c>
      <c r="Y922" s="94">
        <v>0</v>
      </c>
      <c r="AA922" s="94">
        <v>0</v>
      </c>
      <c r="AC922" s="94">
        <v>0</v>
      </c>
      <c r="AE922" s="94">
        <v>0</v>
      </c>
      <c r="AG922" s="94">
        <v>0</v>
      </c>
    </row>
    <row r="923" spans="2:33">
      <c r="C923" t="s">
        <v>279</v>
      </c>
      <c r="I923" s="7">
        <v>138032.95000000001</v>
      </c>
      <c r="K923" s="7">
        <v>167532.64343333335</v>
      </c>
      <c r="M923" s="7">
        <v>199134.47681166668</v>
      </c>
      <c r="O923" s="7">
        <v>234594.01381061666</v>
      </c>
      <c r="Q923" s="7">
        <v>273900.77456714184</v>
      </c>
      <c r="S923" t="s">
        <v>127</v>
      </c>
      <c r="Y923" s="94">
        <v>1.156842125638936E-2</v>
      </c>
      <c r="AA923" s="94">
        <v>1.2779088488952782E-3</v>
      </c>
      <c r="AC923" s="94">
        <v>1.9685255160457075E-3</v>
      </c>
      <c r="AE923" s="94">
        <v>6.7277750043801779E-4</v>
      </c>
      <c r="AG923" s="94">
        <v>-2.5464700816876015E-4</v>
      </c>
    </row>
    <row r="924" spans="2:33" ht="15" thickBot="1">
      <c r="C924" t="s">
        <v>194</v>
      </c>
      <c r="I924" s="54">
        <v>0</v>
      </c>
      <c r="K924" s="54">
        <v>0</v>
      </c>
      <c r="M924" s="54">
        <v>0</v>
      </c>
      <c r="O924" s="54">
        <v>0</v>
      </c>
      <c r="Q924" s="54">
        <v>0</v>
      </c>
      <c r="S924" t="s">
        <v>128</v>
      </c>
      <c r="Y924" s="94">
        <v>0.4311692976062757</v>
      </c>
      <c r="AA924" s="94">
        <v>0.31192943800822742</v>
      </c>
      <c r="AC924" s="94">
        <v>0.23952851073020245</v>
      </c>
      <c r="AE924" s="94">
        <v>0.19006030007739236</v>
      </c>
      <c r="AG924" s="94">
        <v>0.15403218123722787</v>
      </c>
    </row>
    <row r="925" spans="2:33" ht="15" thickTop="1">
      <c r="S925" t="s">
        <v>73</v>
      </c>
      <c r="Y925" s="94">
        <v>0.24929046670751639</v>
      </c>
      <c r="AA925" s="94">
        <v>0.23429555141683869</v>
      </c>
      <c r="AC925" s="94">
        <v>0.22020258591808148</v>
      </c>
      <c r="AE925" s="94">
        <v>0.20695731759218183</v>
      </c>
      <c r="AG925" s="94">
        <v>0.19450875713550916</v>
      </c>
    </row>
    <row r="926" spans="2:33">
      <c r="C926" t="s">
        <v>195</v>
      </c>
      <c r="I926" s="7">
        <v>138032.95000000001</v>
      </c>
      <c r="K926" s="7">
        <v>167532.64343333335</v>
      </c>
      <c r="M926" s="7">
        <v>199134.47681166668</v>
      </c>
      <c r="O926" s="7">
        <v>234594.01381061666</v>
      </c>
      <c r="Q926" s="7">
        <v>273900.77456714184</v>
      </c>
      <c r="S926" t="s">
        <v>132</v>
      </c>
      <c r="Y926" s="94">
        <v>0.10541780024509805</v>
      </c>
      <c r="AA926" s="94">
        <v>0.1018332282337277</v>
      </c>
      <c r="AC926" s="94">
        <v>9.8376190777232822E-2</v>
      </c>
      <c r="AE926" s="94">
        <v>9.5041831172286775E-2</v>
      </c>
      <c r="AG926" s="94">
        <v>9.1825494909526961E-2</v>
      </c>
    </row>
    <row r="927" spans="2:33">
      <c r="S927" t="s">
        <v>134</v>
      </c>
      <c r="Y927" s="94">
        <v>0</v>
      </c>
      <c r="AA927" s="94">
        <v>0</v>
      </c>
      <c r="AC927" s="94">
        <v>0</v>
      </c>
      <c r="AE927" s="94">
        <v>0</v>
      </c>
      <c r="AG927" s="94">
        <v>0</v>
      </c>
    </row>
    <row r="928" spans="2:33">
      <c r="B928" s="6" t="s">
        <v>112</v>
      </c>
      <c r="I928" s="7">
        <v>559279.39333333331</v>
      </c>
      <c r="K928" s="7">
        <v>628643.7845666667</v>
      </c>
      <c r="M928" s="7">
        <v>702726.74947899999</v>
      </c>
      <c r="O928" s="7">
        <v>783453.25629717007</v>
      </c>
      <c r="Q928" s="7">
        <v>870993.13018440083</v>
      </c>
      <c r="S928" t="s">
        <v>135</v>
      </c>
      <c r="Y928" s="94">
        <v>0.46012606719771248</v>
      </c>
      <c r="AA928" s="94">
        <v>0.43796200788429412</v>
      </c>
      <c r="AC928" s="94">
        <v>0.41695496747254712</v>
      </c>
      <c r="AE928" s="94">
        <v>0.39704097993675536</v>
      </c>
      <c r="AG928" s="94">
        <v>0.37815974695456311</v>
      </c>
    </row>
    <row r="929" spans="2:33">
      <c r="B929" s="6"/>
      <c r="S929" t="s">
        <v>47</v>
      </c>
      <c r="Y929" s="94">
        <v>0.21144753370098041</v>
      </c>
      <c r="AA929" s="94">
        <v>0.24120020212717763</v>
      </c>
      <c r="AC929" s="94">
        <v>0.26945302014350508</v>
      </c>
      <c r="AE929" s="94">
        <v>0.29834028227844245</v>
      </c>
      <c r="AG929" s="94">
        <v>0.32737582269802729</v>
      </c>
    </row>
    <row r="930" spans="2:33">
      <c r="B930" s="6" t="s">
        <v>196</v>
      </c>
      <c r="I930" s="7">
        <v>0</v>
      </c>
      <c r="K930" s="7">
        <v>0</v>
      </c>
      <c r="M930" s="7">
        <v>0</v>
      </c>
      <c r="O930" s="7">
        <v>0</v>
      </c>
      <c r="Q930" s="7">
        <v>0</v>
      </c>
      <c r="S930" t="s">
        <v>114</v>
      </c>
      <c r="Y930" s="94">
        <v>0.24867853349673208</v>
      </c>
      <c r="AA930" s="94">
        <v>0.19676180575711649</v>
      </c>
      <c r="AC930" s="94">
        <v>0.14750194732904204</v>
      </c>
      <c r="AE930" s="94">
        <v>9.8700697658312908E-2</v>
      </c>
      <c r="AG930" s="94">
        <v>5.0783924256535828E-2</v>
      </c>
    </row>
    <row r="931" spans="2:33">
      <c r="B931" s="6"/>
      <c r="S931" t="s">
        <v>38</v>
      </c>
      <c r="Y931" s="94">
        <v>4.7895102116721677</v>
      </c>
      <c r="AA931" s="94">
        <v>5.6641840216690369</v>
      </c>
      <c r="AC931" s="94">
        <v>6.6108331669674421</v>
      </c>
      <c r="AE931" s="94">
        <v>7.6882920701432527</v>
      </c>
      <c r="AG931" s="94">
        <v>8.9230941140989533</v>
      </c>
    </row>
    <row r="932" spans="2:33">
      <c r="B932" s="6" t="s">
        <v>113</v>
      </c>
      <c r="I932" s="7">
        <v>0</v>
      </c>
      <c r="K932" s="7">
        <v>0</v>
      </c>
      <c r="M932" s="7">
        <v>0</v>
      </c>
      <c r="O932" s="7">
        <v>0</v>
      </c>
      <c r="Q932" s="7">
        <v>0</v>
      </c>
      <c r="S932" t="s">
        <v>39</v>
      </c>
      <c r="Y932" s="7">
        <v>451960.91866666666</v>
      </c>
      <c r="AA932" s="7">
        <v>464504.02413333347</v>
      </c>
      <c r="AC932" s="7">
        <v>510056.26316733338</v>
      </c>
      <c r="AE932" s="7">
        <v>551541.20131988672</v>
      </c>
      <c r="AG932" s="7">
        <v>595877.72728392563</v>
      </c>
    </row>
    <row r="933" spans="2:33">
      <c r="B933" s="6"/>
      <c r="S933" t="s">
        <v>44</v>
      </c>
      <c r="Y933" s="7">
        <v>451960.91866666666</v>
      </c>
      <c r="AA933" s="7">
        <v>464504.02413333347</v>
      </c>
      <c r="AC933" s="7">
        <v>510056.26316733338</v>
      </c>
      <c r="AE933" s="7">
        <v>551541.20131988672</v>
      </c>
      <c r="AG933" s="7">
        <v>595877.72728392563</v>
      </c>
    </row>
    <row r="934" spans="2:33">
      <c r="B934" s="6" t="s">
        <v>162</v>
      </c>
      <c r="I934" s="7">
        <v>559279.39333333331</v>
      </c>
      <c r="K934" s="7">
        <v>628643.7845666667</v>
      </c>
      <c r="M934" s="7">
        <v>702726.74947899999</v>
      </c>
      <c r="O934" s="7">
        <v>783453.25629717007</v>
      </c>
      <c r="Q934" s="7">
        <v>870993.13018440083</v>
      </c>
      <c r="S934" t="s">
        <v>51</v>
      </c>
      <c r="Y934" s="94">
        <v>0.85673926674836598</v>
      </c>
      <c r="AA934" s="94">
        <v>0.90507142247661121</v>
      </c>
      <c r="AC934" s="94">
        <v>0.95087424344819071</v>
      </c>
      <c r="AE934" s="94">
        <v>0.9963411335139738</v>
      </c>
      <c r="AG934" s="94">
        <v>1.0410415706529912</v>
      </c>
    </row>
    <row r="936" spans="2:33" ht="6.75" customHeight="1">
      <c r="B936" s="32"/>
      <c r="C936" s="32"/>
      <c r="D936" s="32"/>
      <c r="E936" s="32"/>
      <c r="F936" s="32"/>
      <c r="G936" s="32"/>
      <c r="H936" s="32"/>
      <c r="I936" s="25"/>
      <c r="J936" s="32"/>
      <c r="K936" s="25"/>
      <c r="L936" s="32"/>
      <c r="M936" s="25"/>
      <c r="N936" s="32"/>
      <c r="O936" s="25"/>
      <c r="P936" s="32"/>
      <c r="Q936" s="25"/>
      <c r="S936" s="32"/>
      <c r="T936" s="32"/>
      <c r="U936" s="32"/>
      <c r="V936" s="32"/>
      <c r="W936" s="32"/>
      <c r="X936" s="32"/>
      <c r="Y936" s="25"/>
      <c r="Z936" s="32"/>
      <c r="AA936" s="25"/>
      <c r="AB936" s="32"/>
      <c r="AC936" s="25"/>
      <c r="AD936" s="32"/>
      <c r="AE936" s="25"/>
      <c r="AF936" s="32"/>
      <c r="AG936" s="25"/>
    </row>
    <row r="939" spans="2:33" ht="26">
      <c r="B939" s="5" t="s">
        <v>198</v>
      </c>
      <c r="S939" s="5">
        <v>0</v>
      </c>
    </row>
    <row r="941" spans="2:33" ht="26">
      <c r="B941" s="5" t="s">
        <v>179</v>
      </c>
      <c r="O941" s="7" t="s">
        <v>284</v>
      </c>
      <c r="Q941" s="7" t="s">
        <v>301</v>
      </c>
      <c r="S941" s="5" t="s">
        <v>200</v>
      </c>
      <c r="AE941" s="7" t="s">
        <v>284</v>
      </c>
      <c r="AG941" s="7" t="s">
        <v>301</v>
      </c>
    </row>
    <row r="942" spans="2:33" ht="6.75" customHeight="1">
      <c r="B942" s="43"/>
      <c r="C942" s="32"/>
      <c r="D942" s="32"/>
      <c r="E942" s="32"/>
      <c r="F942" s="32"/>
      <c r="G942" s="32"/>
      <c r="H942" s="32"/>
      <c r="I942" s="25"/>
      <c r="J942" s="32"/>
      <c r="K942" s="25"/>
      <c r="L942" s="32"/>
      <c r="M942" s="25"/>
      <c r="N942" s="32"/>
      <c r="O942" s="25"/>
      <c r="P942" s="32"/>
      <c r="Q942" s="25"/>
      <c r="S942" s="43"/>
      <c r="T942" s="32"/>
      <c r="U942" s="32"/>
      <c r="V942" s="32"/>
      <c r="W942" s="32"/>
      <c r="X942" s="32"/>
      <c r="Y942" s="25"/>
      <c r="Z942" s="32"/>
      <c r="AA942" s="25"/>
      <c r="AB942" s="32"/>
      <c r="AC942" s="25"/>
      <c r="AD942" s="32"/>
      <c r="AE942" s="25"/>
      <c r="AF942" s="32"/>
      <c r="AG942" s="25"/>
    </row>
    <row r="943" spans="2:33" ht="17.25" customHeight="1">
      <c r="B943" s="5"/>
      <c r="S943" s="5"/>
    </row>
    <row r="944" spans="2:33" ht="15" thickBot="1">
      <c r="I944" s="33"/>
      <c r="J944" s="34"/>
      <c r="K944" s="33"/>
      <c r="L944" s="34"/>
      <c r="M944" s="35" t="s">
        <v>58</v>
      </c>
      <c r="N944" s="34"/>
      <c r="O944" s="33"/>
      <c r="P944" s="34"/>
      <c r="Q944" s="33"/>
      <c r="Y944" s="33"/>
      <c r="Z944" s="34"/>
      <c r="AA944" s="33"/>
      <c r="AB944" s="34"/>
      <c r="AC944" s="35" t="s">
        <v>59</v>
      </c>
      <c r="AD944" s="34"/>
      <c r="AE944" s="33"/>
      <c r="AF944" s="34"/>
      <c r="AG944" s="33"/>
    </row>
    <row r="945" spans="2:33">
      <c r="B945" s="6" t="s">
        <v>180</v>
      </c>
      <c r="I945" s="8">
        <v>2019</v>
      </c>
      <c r="J945" s="8"/>
      <c r="K945" s="8">
        <v>2020</v>
      </c>
      <c r="L945" s="8"/>
      <c r="M945" s="8">
        <v>2021</v>
      </c>
      <c r="N945" s="8"/>
      <c r="O945" s="8">
        <v>2022</v>
      </c>
      <c r="P945" s="8"/>
      <c r="Q945" s="8">
        <v>2023</v>
      </c>
      <c r="S945" s="6" t="s">
        <v>201</v>
      </c>
      <c r="Y945" s="10">
        <v>43465</v>
      </c>
      <c r="Z945" s="8"/>
      <c r="AA945" s="10">
        <v>43830</v>
      </c>
      <c r="AB945" s="8"/>
      <c r="AC945" s="10">
        <v>44196</v>
      </c>
      <c r="AD945" s="8"/>
      <c r="AE945" s="10">
        <v>44561</v>
      </c>
      <c r="AF945" s="8"/>
      <c r="AG945" s="10">
        <v>44926</v>
      </c>
    </row>
    <row r="947" spans="2:33">
      <c r="C947" t="s">
        <v>86</v>
      </c>
      <c r="I947" s="7">
        <v>652800</v>
      </c>
      <c r="K947" s="7">
        <v>694579.20000000007</v>
      </c>
      <c r="M947" s="7">
        <v>739032.26880000008</v>
      </c>
      <c r="O947" s="7">
        <v>786330.33400320017</v>
      </c>
      <c r="Q947" s="7">
        <v>836655.47537940508</v>
      </c>
      <c r="T947" t="s">
        <v>281</v>
      </c>
      <c r="Y947" s="7">
        <v>1612416.9006666667</v>
      </c>
      <c r="AA947" s="7">
        <v>2247212.5608333335</v>
      </c>
      <c r="AC947" s="7">
        <v>2964210.4362090002</v>
      </c>
      <c r="AE947" s="7">
        <v>3758790.481506004</v>
      </c>
      <c r="AG947" s="7">
        <v>4637892.4655318959</v>
      </c>
    </row>
    <row r="948" spans="2:33">
      <c r="C948" t="s">
        <v>181</v>
      </c>
      <c r="I948" s="7">
        <v>0</v>
      </c>
      <c r="K948" s="7">
        <v>0</v>
      </c>
      <c r="M948" s="7">
        <v>0</v>
      </c>
      <c r="O948" s="7">
        <v>0</v>
      </c>
      <c r="Q948" s="7">
        <v>0</v>
      </c>
      <c r="T948" t="s">
        <v>165</v>
      </c>
      <c r="Y948" s="7">
        <v>0</v>
      </c>
      <c r="AA948" s="7">
        <v>0</v>
      </c>
      <c r="AC948" s="7">
        <v>0</v>
      </c>
      <c r="AE948" s="7">
        <v>0</v>
      </c>
      <c r="AG948" s="7">
        <v>0</v>
      </c>
    </row>
    <row r="949" spans="2:33">
      <c r="C949" t="s">
        <v>110</v>
      </c>
      <c r="I949" s="7">
        <v>0</v>
      </c>
      <c r="K949" s="7">
        <v>0</v>
      </c>
      <c r="M949" s="7">
        <v>0</v>
      </c>
      <c r="O949" s="7">
        <v>0</v>
      </c>
      <c r="Q949" s="7">
        <v>0</v>
      </c>
      <c r="T949" t="s">
        <v>202</v>
      </c>
      <c r="Y949" s="7">
        <v>1725710</v>
      </c>
      <c r="AA949" s="7">
        <v>1725710</v>
      </c>
      <c r="AC949" s="7">
        <v>1725710</v>
      </c>
      <c r="AE949" s="7">
        <v>1725710</v>
      </c>
      <c r="AG949" s="7">
        <v>1725710</v>
      </c>
    </row>
    <row r="950" spans="2:33" ht="15" thickBot="1">
      <c r="C950" t="s">
        <v>125</v>
      </c>
      <c r="I950" s="54">
        <v>0</v>
      </c>
      <c r="K950" s="54">
        <v>0</v>
      </c>
      <c r="M950" s="54">
        <v>0</v>
      </c>
      <c r="O950" s="54">
        <v>0</v>
      </c>
      <c r="Q950" s="54">
        <v>0</v>
      </c>
      <c r="T950" t="s">
        <v>203</v>
      </c>
      <c r="Y950" s="54">
        <v>5000</v>
      </c>
      <c r="AA950" s="54">
        <v>5000</v>
      </c>
      <c r="AC950" s="54">
        <v>5000</v>
      </c>
      <c r="AE950" s="54">
        <v>5000</v>
      </c>
      <c r="AG950" s="54">
        <v>5000</v>
      </c>
    </row>
    <row r="951" spans="2:33" ht="15" thickTop="1"/>
    <row r="952" spans="2:33">
      <c r="C952" t="s">
        <v>182</v>
      </c>
      <c r="I952" s="7">
        <v>652800</v>
      </c>
      <c r="K952" s="7">
        <v>694579.20000000007</v>
      </c>
      <c r="M952" s="7">
        <v>739032.26880000008</v>
      </c>
      <c r="O952" s="7">
        <v>786330.33400320017</v>
      </c>
      <c r="Q952" s="7">
        <v>836655.47537940508</v>
      </c>
      <c r="T952" t="s">
        <v>166</v>
      </c>
      <c r="Y952" s="7">
        <v>3343126.9006666667</v>
      </c>
      <c r="AA952" s="7">
        <v>3977922.5608333335</v>
      </c>
      <c r="AC952" s="7">
        <v>4694920.4362090006</v>
      </c>
      <c r="AE952" s="7">
        <v>5489500.481506004</v>
      </c>
      <c r="AG952" s="7">
        <v>6368602.4655318959</v>
      </c>
    </row>
    <row r="954" spans="2:33">
      <c r="B954" s="6" t="s">
        <v>183</v>
      </c>
      <c r="S954" s="6" t="s">
        <v>204</v>
      </c>
    </row>
    <row r="956" spans="2:33">
      <c r="C956" t="s">
        <v>184</v>
      </c>
      <c r="I956" s="7">
        <v>144548.30933333334</v>
      </c>
      <c r="K956" s="7">
        <v>155958.64266666668</v>
      </c>
      <c r="M956" s="7">
        <v>147977.34200000003</v>
      </c>
      <c r="O956" s="7">
        <v>151512.03566666669</v>
      </c>
      <c r="Q956" s="7">
        <v>154952.21233333336</v>
      </c>
      <c r="T956" t="s">
        <v>205</v>
      </c>
      <c r="Y956" s="7">
        <v>307165.15733333334</v>
      </c>
      <c r="AA956" s="7">
        <v>271560.08133333339</v>
      </c>
      <c r="AC956" s="7">
        <v>276483.97266666673</v>
      </c>
      <c r="AE956" s="7">
        <v>276638.60366666672</v>
      </c>
      <c r="AG956" s="7">
        <v>274587.62466666673</v>
      </c>
    </row>
    <row r="957" spans="2:33" ht="15" thickBot="1">
      <c r="C957" t="s">
        <v>185</v>
      </c>
      <c r="I957" s="54">
        <v>57332.157333333336</v>
      </c>
      <c r="K957" s="54">
        <v>-35605.075999999943</v>
      </c>
      <c r="M957" s="54">
        <v>4923.891333333333</v>
      </c>
      <c r="O957" s="54">
        <v>154.63099999999395</v>
      </c>
      <c r="Q957" s="54">
        <v>-2050.9789999999921</v>
      </c>
      <c r="T957" t="s">
        <v>206</v>
      </c>
      <c r="Y957" s="54">
        <v>420078</v>
      </c>
      <c r="AA957" s="54">
        <v>420078</v>
      </c>
      <c r="AC957" s="54">
        <v>420078</v>
      </c>
      <c r="AE957" s="54">
        <v>420078</v>
      </c>
      <c r="AG957" s="54">
        <v>420078</v>
      </c>
    </row>
    <row r="958" spans="2:33" ht="15" thickTop="1"/>
    <row r="959" spans="2:33">
      <c r="C959" t="s">
        <v>186</v>
      </c>
      <c r="I959" s="7">
        <v>201880.46666666667</v>
      </c>
      <c r="K959" s="7">
        <v>120353.56666666674</v>
      </c>
      <c r="M959" s="7">
        <v>152901.23333333337</v>
      </c>
      <c r="O959" s="7">
        <v>151666.66666666669</v>
      </c>
      <c r="Q959" s="7">
        <v>152901.23333333337</v>
      </c>
      <c r="T959" t="s">
        <v>167</v>
      </c>
      <c r="Y959" s="7">
        <v>727243.15733333328</v>
      </c>
      <c r="AA959" s="7">
        <v>691638.08133333339</v>
      </c>
      <c r="AC959" s="7">
        <v>696561.97266666673</v>
      </c>
      <c r="AE959" s="7">
        <v>696716.60366666666</v>
      </c>
      <c r="AG959" s="7">
        <v>694665.62466666673</v>
      </c>
    </row>
    <row r="961" spans="2:33">
      <c r="C961" t="s">
        <v>164</v>
      </c>
      <c r="I961" s="7">
        <v>450919.53333333333</v>
      </c>
      <c r="K961" s="7">
        <v>574225.6333333333</v>
      </c>
      <c r="M961" s="7">
        <v>586131.03546666668</v>
      </c>
      <c r="O961" s="7">
        <v>634663.66733653354</v>
      </c>
      <c r="Q961" s="7">
        <v>683754.24204607168</v>
      </c>
      <c r="S961" s="6" t="s">
        <v>169</v>
      </c>
      <c r="Y961" s="7">
        <v>2615883.7433333332</v>
      </c>
      <c r="AA961" s="7">
        <v>3286284.4795000004</v>
      </c>
      <c r="AC961" s="7">
        <v>3998358.4635423338</v>
      </c>
      <c r="AE961" s="7">
        <v>4792783.8778393371</v>
      </c>
      <c r="AG961" s="7">
        <v>5673936.8408652293</v>
      </c>
    </row>
    <row r="962" spans="2:33">
      <c r="S962" s="6"/>
    </row>
    <row r="963" spans="2:33" ht="6.75" customHeight="1">
      <c r="S963" s="32"/>
      <c r="T963" s="32"/>
      <c r="U963" s="32"/>
      <c r="V963" s="32"/>
      <c r="W963" s="32"/>
      <c r="X963" s="32"/>
      <c r="Y963" s="25"/>
      <c r="Z963" s="32"/>
      <c r="AA963" s="25"/>
      <c r="AB963" s="32"/>
      <c r="AC963" s="25"/>
      <c r="AD963" s="32"/>
      <c r="AE963" s="25"/>
      <c r="AF963" s="32"/>
      <c r="AG963" s="25"/>
    </row>
    <row r="964" spans="2:33" ht="26">
      <c r="C964" t="s">
        <v>163</v>
      </c>
      <c r="S964" s="23" t="s">
        <v>53</v>
      </c>
      <c r="X964" s="5"/>
      <c r="Y964"/>
      <c r="AA964"/>
      <c r="AC964"/>
      <c r="AE964" t="s">
        <v>284</v>
      </c>
      <c r="AG964" t="s">
        <v>301</v>
      </c>
    </row>
    <row r="965" spans="2:33" ht="15.75" customHeight="1">
      <c r="D965" t="s">
        <v>187</v>
      </c>
      <c r="I965" s="7">
        <v>63816.740000000005</v>
      </c>
      <c r="K965" s="7">
        <v>65731.242200000008</v>
      </c>
      <c r="M965" s="7">
        <v>67703.179466000016</v>
      </c>
      <c r="O965" s="7">
        <v>69734.274849980022</v>
      </c>
      <c r="Q965" s="7">
        <v>71826.303095479423</v>
      </c>
      <c r="S965" s="5"/>
    </row>
    <row r="966" spans="2:33" ht="15" thickBot="1">
      <c r="D966" t="s">
        <v>188</v>
      </c>
      <c r="I966" s="7">
        <v>0</v>
      </c>
      <c r="K966" s="7">
        <v>0</v>
      </c>
      <c r="M966" s="7">
        <v>0</v>
      </c>
      <c r="O966" s="7">
        <v>0</v>
      </c>
      <c r="Q966" s="7">
        <v>0</v>
      </c>
      <c r="Y966" s="33"/>
      <c r="Z966" s="34"/>
      <c r="AA966" s="33"/>
      <c r="AB966" s="34"/>
      <c r="AC966" s="35" t="s">
        <v>59</v>
      </c>
      <c r="AD966" s="34"/>
      <c r="AE966" s="33"/>
      <c r="AF966" s="34"/>
      <c r="AG966" s="33"/>
    </row>
    <row r="967" spans="2:33">
      <c r="D967" t="s">
        <v>189</v>
      </c>
      <c r="I967" s="7">
        <v>0</v>
      </c>
      <c r="K967" s="7">
        <v>0</v>
      </c>
      <c r="M967" s="7">
        <v>0</v>
      </c>
      <c r="O967" s="7">
        <v>0</v>
      </c>
      <c r="Q967" s="7">
        <v>0</v>
      </c>
      <c r="S967" s="22" t="s">
        <v>74</v>
      </c>
      <c r="Y967" s="10">
        <v>43465</v>
      </c>
      <c r="Z967" s="8"/>
      <c r="AA967" s="10">
        <v>43830</v>
      </c>
      <c r="AB967" s="8"/>
      <c r="AC967" s="10">
        <v>44196</v>
      </c>
      <c r="AD967" s="8"/>
      <c r="AE967" s="10">
        <v>44561</v>
      </c>
      <c r="AF967" s="8"/>
      <c r="AG967" s="10">
        <v>44926</v>
      </c>
    </row>
    <row r="968" spans="2:33">
      <c r="D968" t="s">
        <v>190</v>
      </c>
      <c r="I968" s="7">
        <v>0</v>
      </c>
      <c r="K968" s="7">
        <v>0</v>
      </c>
      <c r="M968" s="7">
        <v>0</v>
      </c>
      <c r="O968" s="7">
        <v>0</v>
      </c>
      <c r="Q968" s="7">
        <v>0</v>
      </c>
      <c r="Y968"/>
      <c r="AA968"/>
      <c r="AC968"/>
      <c r="AE968"/>
      <c r="AG968"/>
    </row>
    <row r="969" spans="2:33">
      <c r="D969" t="s">
        <v>111</v>
      </c>
      <c r="I969" s="7">
        <v>5000</v>
      </c>
      <c r="K969" s="7">
        <v>5000</v>
      </c>
      <c r="M969" s="7">
        <v>5000</v>
      </c>
      <c r="O969" s="7">
        <v>5000</v>
      </c>
      <c r="Q969" s="7">
        <v>5000</v>
      </c>
      <c r="S969" t="s">
        <v>115</v>
      </c>
      <c r="Y969" s="94">
        <v>0.2495523746663752</v>
      </c>
      <c r="AA969" s="94">
        <v>0.21135699125648383</v>
      </c>
      <c r="AC969" s="94">
        <v>0.1848339201046163</v>
      </c>
      <c r="AE969" s="94">
        <v>0.16406546884765652</v>
      </c>
      <c r="AG969" s="94">
        <v>0.14745590210902346</v>
      </c>
    </row>
    <row r="970" spans="2:33" ht="15" thickBot="1">
      <c r="D970" t="s">
        <v>191</v>
      </c>
      <c r="I970" s="54">
        <v>0</v>
      </c>
      <c r="K970" s="54">
        <v>0</v>
      </c>
      <c r="M970" s="54">
        <v>0</v>
      </c>
      <c r="O970" s="54">
        <v>0</v>
      </c>
      <c r="Q970" s="54">
        <v>0</v>
      </c>
      <c r="S970" t="s">
        <v>116</v>
      </c>
      <c r="Y970" s="94">
        <v>0.2495523746663752</v>
      </c>
      <c r="AA970" s="94">
        <v>0.21135699125648383</v>
      </c>
      <c r="AC970" s="94">
        <v>0.1848339201046163</v>
      </c>
      <c r="AE970" s="94">
        <v>0.16406546884765652</v>
      </c>
      <c r="AG970" s="94">
        <v>0.14745590210902346</v>
      </c>
    </row>
    <row r="971" spans="2:33" ht="15" thickTop="1">
      <c r="S971" t="s">
        <v>242</v>
      </c>
      <c r="Y971" s="94">
        <v>0.19113999285108393</v>
      </c>
      <c r="AA971" s="94">
        <v>0.15214750978468963</v>
      </c>
      <c r="AC971" s="94">
        <v>0.12505131907483516</v>
      </c>
      <c r="AE971" s="94">
        <v>0.10432350232020225</v>
      </c>
      <c r="AG971" s="94">
        <v>8.8122235763864104E-2</v>
      </c>
    </row>
    <row r="972" spans="2:33">
      <c r="D972" t="s">
        <v>192</v>
      </c>
      <c r="I972" s="7">
        <v>68816.740000000005</v>
      </c>
      <c r="K972" s="7">
        <v>70731.242200000008</v>
      </c>
      <c r="M972" s="7">
        <v>72703.179466000016</v>
      </c>
      <c r="O972" s="7">
        <v>74734.274849980022</v>
      </c>
      <c r="Q972" s="7">
        <v>76826.303095479423</v>
      </c>
      <c r="S972" t="s">
        <v>48</v>
      </c>
      <c r="Y972" s="94">
        <v>8.9646982287005725E-2</v>
      </c>
      <c r="AA972" s="94">
        <v>6.9400930461528107E-2</v>
      </c>
      <c r="AC972" s="94">
        <v>4.9921334933714021E-2</v>
      </c>
      <c r="AE972" s="94">
        <v>4.0308720694099874E-2</v>
      </c>
      <c r="AG972" s="94">
        <v>3.3410048526332684E-2</v>
      </c>
    </row>
    <row r="973" spans="2:33">
      <c r="S973" t="s">
        <v>207</v>
      </c>
      <c r="Y973" s="97">
        <v>7465</v>
      </c>
      <c r="AA973" s="7">
        <v>41779.20000000007</v>
      </c>
      <c r="AC973" s="7">
        <v>44453.068800000008</v>
      </c>
      <c r="AE973" s="7">
        <v>47298.065203200094</v>
      </c>
      <c r="AG973" s="7">
        <v>50325.141376204905</v>
      </c>
    </row>
    <row r="974" spans="2:33">
      <c r="C974" t="s">
        <v>193</v>
      </c>
      <c r="I974" s="7">
        <v>382102.79333333333</v>
      </c>
      <c r="K974" s="7">
        <v>503494.39113333332</v>
      </c>
      <c r="M974" s="7">
        <v>513427.85600066668</v>
      </c>
      <c r="O974" s="7">
        <v>559929.39248655352</v>
      </c>
      <c r="Q974" s="7">
        <v>606927.9389505923</v>
      </c>
      <c r="S974" t="s">
        <v>118</v>
      </c>
      <c r="Y974" s="97">
        <v>520135.74333333317</v>
      </c>
      <c r="AA974" s="7">
        <v>670400.73616666719</v>
      </c>
      <c r="AC974" s="7">
        <v>712073.98404233344</v>
      </c>
      <c r="AE974" s="7">
        <v>794425.4142970033</v>
      </c>
      <c r="AG974" s="7">
        <v>881152.96302589215</v>
      </c>
    </row>
    <row r="975" spans="2:33">
      <c r="S975" t="s">
        <v>119</v>
      </c>
      <c r="Y975" s="94">
        <v>2.1916936285661107E-2</v>
      </c>
      <c r="AA975" s="94">
        <v>-1.3611107944204578E-2</v>
      </c>
      <c r="AC975" s="94">
        <v>1.4983156096341635E-3</v>
      </c>
      <c r="AE975" s="94">
        <v>3.8673621039720152E-5</v>
      </c>
      <c r="AG975" s="94">
        <v>-4.279306249303705E-4</v>
      </c>
    </row>
    <row r="976" spans="2:33">
      <c r="B976" s="6" t="s">
        <v>168</v>
      </c>
      <c r="S976" t="s">
        <v>280</v>
      </c>
      <c r="Y976" s="94">
        <v>5.2767234152428059E-2</v>
      </c>
      <c r="AA976" s="94">
        <v>5.078876952817174E-2</v>
      </c>
      <c r="AC976" s="94">
        <v>4.9681920681438042E-2</v>
      </c>
      <c r="AE976" s="94">
        <v>4.8926892550841365E-2</v>
      </c>
      <c r="AG976" s="94">
        <v>4.8330644447829828E-2</v>
      </c>
    </row>
    <row r="977" spans="2:33">
      <c r="S977" t="s">
        <v>124</v>
      </c>
      <c r="Y977" s="94">
        <v>0</v>
      </c>
      <c r="AA977" s="94">
        <v>0</v>
      </c>
      <c r="AC977" s="94">
        <v>0</v>
      </c>
      <c r="AE977" s="94">
        <v>0</v>
      </c>
      <c r="AG977" s="94">
        <v>0</v>
      </c>
    </row>
    <row r="978" spans="2:33">
      <c r="C978" t="s">
        <v>279</v>
      </c>
      <c r="I978" s="7">
        <v>138032.95000000001</v>
      </c>
      <c r="K978" s="7">
        <v>166906.34503333335</v>
      </c>
      <c r="M978" s="7">
        <v>198646.1280416667</v>
      </c>
      <c r="O978" s="7">
        <v>234496.02181045004</v>
      </c>
      <c r="Q978" s="7">
        <v>274225.0240753002</v>
      </c>
      <c r="S978" t="s">
        <v>127</v>
      </c>
      <c r="Y978" s="94">
        <v>2.1916936285661107E-2</v>
      </c>
      <c r="AA978" s="94">
        <v>-1.3611107944204578E-2</v>
      </c>
      <c r="AC978" s="94">
        <v>1.4983156096341635E-3</v>
      </c>
      <c r="AE978" s="94">
        <v>3.8673621039720152E-5</v>
      </c>
      <c r="AG978" s="94">
        <v>-4.279306249303705E-4</v>
      </c>
    </row>
    <row r="979" spans="2:33" ht="15" thickBot="1">
      <c r="C979" t="s">
        <v>194</v>
      </c>
      <c r="I979" s="54">
        <v>0</v>
      </c>
      <c r="K979" s="54">
        <v>0</v>
      </c>
      <c r="M979" s="54">
        <v>0</v>
      </c>
      <c r="O979" s="54">
        <v>0</v>
      </c>
      <c r="Q979" s="54">
        <v>0</v>
      </c>
      <c r="S979" t="s">
        <v>128</v>
      </c>
      <c r="Y979" s="94">
        <v>0.4510267518485131</v>
      </c>
      <c r="AA979" s="94">
        <v>0.30777599475363082</v>
      </c>
      <c r="AC979" s="94">
        <v>0.23499072945627861</v>
      </c>
      <c r="AE979" s="94">
        <v>0.18535659465316057</v>
      </c>
      <c r="AG979" s="94">
        <v>0.14978045088999259</v>
      </c>
    </row>
    <row r="980" spans="2:33" ht="15" thickTop="1">
      <c r="S980" t="s">
        <v>73</v>
      </c>
      <c r="Y980" s="94">
        <v>0.30925316584967322</v>
      </c>
      <c r="AA980" s="94">
        <v>0.17327551223340221</v>
      </c>
      <c r="AC980" s="94">
        <v>0.20689385266167873</v>
      </c>
      <c r="AE980" s="94">
        <v>0.1928790739822196</v>
      </c>
      <c r="AG980" s="94">
        <v>0.18275292259815307</v>
      </c>
    </row>
    <row r="981" spans="2:33">
      <c r="C981" t="s">
        <v>195</v>
      </c>
      <c r="I981" s="7">
        <v>138032.95000000001</v>
      </c>
      <c r="K981" s="7">
        <v>166906.34503333335</v>
      </c>
      <c r="M981" s="7">
        <v>198646.1280416667</v>
      </c>
      <c r="O981" s="7">
        <v>234496.02181045004</v>
      </c>
      <c r="Q981" s="7">
        <v>274225.0240753002</v>
      </c>
      <c r="S981" t="s">
        <v>132</v>
      </c>
      <c r="Y981" s="94">
        <v>0.10541780024509805</v>
      </c>
      <c r="AA981" s="94">
        <v>0.1018332282337277</v>
      </c>
      <c r="AC981" s="94">
        <v>9.8376190777232822E-2</v>
      </c>
      <c r="AE981" s="94">
        <v>9.5041831172286775E-2</v>
      </c>
      <c r="AG981" s="94">
        <v>9.1825494909526961E-2</v>
      </c>
    </row>
    <row r="982" spans="2:33">
      <c r="S982" t="s">
        <v>134</v>
      </c>
      <c r="Y982" s="94">
        <v>0</v>
      </c>
      <c r="AA982" s="94">
        <v>0</v>
      </c>
      <c r="AC982" s="94">
        <v>0</v>
      </c>
      <c r="AE982" s="94">
        <v>0</v>
      </c>
      <c r="AG982" s="94">
        <v>0</v>
      </c>
    </row>
    <row r="983" spans="2:33">
      <c r="B983" s="6" t="s">
        <v>112</v>
      </c>
      <c r="I983" s="7">
        <v>520135.74333333335</v>
      </c>
      <c r="K983" s="7">
        <v>670400.73616666673</v>
      </c>
      <c r="M983" s="7">
        <v>712073.98404233344</v>
      </c>
      <c r="O983" s="7">
        <v>794425.41429700353</v>
      </c>
      <c r="Q983" s="7">
        <v>881152.9630258925</v>
      </c>
      <c r="S983" t="s">
        <v>135</v>
      </c>
      <c r="Y983" s="94">
        <v>0.52008876633986934</v>
      </c>
      <c r="AA983" s="94">
        <v>0.37694196870085761</v>
      </c>
      <c r="AC983" s="94">
        <v>0.40364623421614437</v>
      </c>
      <c r="AE983" s="94">
        <v>0.38296273632679312</v>
      </c>
      <c r="AG983" s="94">
        <v>0.36640391241720699</v>
      </c>
    </row>
    <row r="984" spans="2:33">
      <c r="B984" s="6"/>
      <c r="S984" t="s">
        <v>47</v>
      </c>
      <c r="Y984" s="94">
        <v>0.21144753370098041</v>
      </c>
      <c r="AA984" s="94">
        <v>0.24029850740323541</v>
      </c>
      <c r="AC984" s="94">
        <v>0.26879222522206958</v>
      </c>
      <c r="AE984" s="94">
        <v>0.29821566289657558</v>
      </c>
      <c r="AG984" s="94">
        <v>0.32776337709490888</v>
      </c>
    </row>
    <row r="985" spans="2:33">
      <c r="B985" s="6" t="s">
        <v>196</v>
      </c>
      <c r="I985" s="7">
        <v>0</v>
      </c>
      <c r="K985" s="7">
        <v>0</v>
      </c>
      <c r="M985" s="7">
        <v>0</v>
      </c>
      <c r="O985" s="7">
        <v>0</v>
      </c>
      <c r="Q985" s="7">
        <v>0</v>
      </c>
      <c r="S985" t="s">
        <v>114</v>
      </c>
      <c r="Y985" s="94">
        <v>0.30864123263888893</v>
      </c>
      <c r="AA985" s="94">
        <v>0.1366434612976222</v>
      </c>
      <c r="AC985" s="94">
        <v>0.13485400899407479</v>
      </c>
      <c r="AE985" s="94">
        <v>8.4747073430217534E-2</v>
      </c>
      <c r="AG985" s="94">
        <v>3.8640535322298109E-2</v>
      </c>
    </row>
    <row r="986" spans="2:33">
      <c r="B986" s="6"/>
      <c r="S986" t="s">
        <v>38</v>
      </c>
      <c r="Y986" s="94">
        <v>4.596986395754203</v>
      </c>
      <c r="AA986" s="94">
        <v>5.7514510380410684</v>
      </c>
      <c r="AC986" s="94">
        <v>6.7401331402506974</v>
      </c>
      <c r="AE986" s="94">
        <v>7.8791009897223159</v>
      </c>
      <c r="AG986" s="94">
        <v>9.1678675889394281</v>
      </c>
    </row>
    <row r="987" spans="2:33">
      <c r="B987" s="6" t="s">
        <v>113</v>
      </c>
      <c r="I987" s="7">
        <v>0</v>
      </c>
      <c r="K987" s="7">
        <v>0</v>
      </c>
      <c r="M987" s="7">
        <v>0</v>
      </c>
      <c r="O987" s="7">
        <v>0</v>
      </c>
      <c r="Q987" s="7">
        <v>0</v>
      </c>
      <c r="S987" t="s">
        <v>39</v>
      </c>
      <c r="Y987" s="7">
        <v>439434.95066666667</v>
      </c>
      <c r="AA987" s="7">
        <v>467889.31513333344</v>
      </c>
      <c r="AC987" s="7">
        <v>518351.74733400001</v>
      </c>
      <c r="AE987" s="7">
        <v>560084.02348655346</v>
      </c>
      <c r="AG987" s="7">
        <v>604876.95995059237</v>
      </c>
    </row>
    <row r="988" spans="2:33">
      <c r="B988" s="6"/>
      <c r="S988" t="s">
        <v>44</v>
      </c>
      <c r="Y988" s="7">
        <v>439434.95066666667</v>
      </c>
      <c r="AA988" s="7">
        <v>467889.31513333344</v>
      </c>
      <c r="AC988" s="7">
        <v>518351.74733400001</v>
      </c>
      <c r="AE988" s="7">
        <v>560084.02348655346</v>
      </c>
      <c r="AG988" s="7">
        <v>604876.95995059237</v>
      </c>
    </row>
    <row r="989" spans="2:33">
      <c r="B989" s="6" t="s">
        <v>162</v>
      </c>
      <c r="I989" s="7">
        <v>520135.74333333335</v>
      </c>
      <c r="K989" s="7">
        <v>670400.73616666673</v>
      </c>
      <c r="M989" s="7">
        <v>712073.98404233344</v>
      </c>
      <c r="O989" s="7">
        <v>794425.41429700353</v>
      </c>
      <c r="Q989" s="7">
        <v>881152.9630258925</v>
      </c>
      <c r="S989" t="s">
        <v>51</v>
      </c>
      <c r="Y989" s="94">
        <v>0.79677656760620919</v>
      </c>
      <c r="AA989" s="94">
        <v>0.96518976693610559</v>
      </c>
      <c r="AC989" s="94">
        <v>0.96352218178315807</v>
      </c>
      <c r="AE989" s="94">
        <v>1.0102947577420693</v>
      </c>
      <c r="AG989" s="94">
        <v>1.0531849595872289</v>
      </c>
    </row>
    <row r="991" spans="2:33" ht="6.75" customHeight="1">
      <c r="B991" s="32"/>
      <c r="C991" s="32"/>
      <c r="D991" s="32"/>
      <c r="E991" s="32"/>
      <c r="F991" s="32"/>
      <c r="G991" s="32"/>
      <c r="H991" s="32"/>
      <c r="I991" s="25"/>
      <c r="J991" s="32"/>
      <c r="K991" s="25"/>
      <c r="L991" s="32"/>
      <c r="M991" s="25"/>
      <c r="N991" s="32"/>
      <c r="O991" s="25"/>
      <c r="P991" s="32"/>
      <c r="Q991" s="25"/>
      <c r="S991" s="32"/>
      <c r="T991" s="32"/>
      <c r="U991" s="32"/>
      <c r="V991" s="32"/>
      <c r="W991" s="32"/>
      <c r="X991" s="32"/>
      <c r="Y991" s="25"/>
      <c r="Z991" s="32"/>
      <c r="AA991" s="25"/>
      <c r="AB991" s="32"/>
      <c r="AC991" s="25"/>
      <c r="AD991" s="32"/>
      <c r="AE991" s="25"/>
      <c r="AF991" s="32"/>
      <c r="AG991" s="25"/>
    </row>
    <row r="994" spans="2:33" ht="26">
      <c r="B994" s="5" t="s">
        <v>198</v>
      </c>
      <c r="S994" s="5">
        <v>0</v>
      </c>
    </row>
    <row r="996" spans="2:33" ht="26">
      <c r="B996" s="5" t="s">
        <v>179</v>
      </c>
      <c r="O996" s="7" t="s">
        <v>284</v>
      </c>
      <c r="Q996" s="7" t="s">
        <v>302</v>
      </c>
      <c r="S996" s="5" t="s">
        <v>200</v>
      </c>
      <c r="AE996" s="7" t="s">
        <v>284</v>
      </c>
      <c r="AG996" s="7" t="s">
        <v>302</v>
      </c>
    </row>
    <row r="997" spans="2:33" ht="6.75" customHeight="1">
      <c r="B997" s="43"/>
      <c r="C997" s="32"/>
      <c r="D997" s="32"/>
      <c r="E997" s="32"/>
      <c r="F997" s="32"/>
      <c r="G997" s="32"/>
      <c r="H997" s="32"/>
      <c r="I997" s="25"/>
      <c r="J997" s="32"/>
      <c r="K997" s="25"/>
      <c r="L997" s="32"/>
      <c r="M997" s="25"/>
      <c r="N997" s="32"/>
      <c r="O997" s="25"/>
      <c r="P997" s="32"/>
      <c r="Q997" s="25"/>
      <c r="S997" s="43"/>
      <c r="T997" s="32"/>
      <c r="U997" s="32"/>
      <c r="V997" s="32"/>
      <c r="W997" s="32"/>
      <c r="X997" s="32"/>
      <c r="Y997" s="25"/>
      <c r="Z997" s="32"/>
      <c r="AA997" s="25"/>
      <c r="AB997" s="32"/>
      <c r="AC997" s="25"/>
      <c r="AD997" s="32"/>
      <c r="AE997" s="25"/>
      <c r="AF997" s="32"/>
      <c r="AG997" s="25"/>
    </row>
    <row r="998" spans="2:33" ht="17.25" customHeight="1">
      <c r="B998" s="5"/>
      <c r="S998" s="5"/>
    </row>
    <row r="999" spans="2:33" ht="15" thickBot="1">
      <c r="I999" s="33"/>
      <c r="J999" s="34"/>
      <c r="K999" s="33"/>
      <c r="L999" s="34"/>
      <c r="M999" s="35" t="s">
        <v>58</v>
      </c>
      <c r="N999" s="34"/>
      <c r="O999" s="33"/>
      <c r="P999" s="34"/>
      <c r="Q999" s="33"/>
      <c r="Y999" s="33"/>
      <c r="Z999" s="34"/>
      <c r="AA999" s="33"/>
      <c r="AB999" s="34"/>
      <c r="AC999" s="35" t="s">
        <v>59</v>
      </c>
      <c r="AD999" s="34"/>
      <c r="AE999" s="33"/>
      <c r="AF999" s="34"/>
      <c r="AG999" s="33"/>
    </row>
    <row r="1000" spans="2:33">
      <c r="B1000" s="6" t="s">
        <v>180</v>
      </c>
      <c r="I1000" s="8">
        <v>2019</v>
      </c>
      <c r="J1000" s="8"/>
      <c r="K1000" s="8">
        <v>2020</v>
      </c>
      <c r="L1000" s="8"/>
      <c r="M1000" s="8">
        <v>2021</v>
      </c>
      <c r="N1000" s="8"/>
      <c r="O1000" s="8">
        <v>2022</v>
      </c>
      <c r="P1000" s="8"/>
      <c r="Q1000" s="8">
        <v>2023</v>
      </c>
      <c r="S1000" s="6" t="s">
        <v>201</v>
      </c>
      <c r="Y1000" s="10">
        <v>43465</v>
      </c>
      <c r="Z1000" s="8"/>
      <c r="AA1000" s="10">
        <v>43830</v>
      </c>
      <c r="AB1000" s="8"/>
      <c r="AC1000" s="10">
        <v>44196</v>
      </c>
      <c r="AD1000" s="8"/>
      <c r="AE1000" s="10">
        <v>44561</v>
      </c>
      <c r="AF1000" s="8"/>
      <c r="AG1000" s="10">
        <v>44926</v>
      </c>
    </row>
    <row r="1002" spans="2:33">
      <c r="C1002" t="s">
        <v>86</v>
      </c>
      <c r="I1002" s="7">
        <v>652800</v>
      </c>
      <c r="K1002" s="7">
        <v>694579.20000000007</v>
      </c>
      <c r="M1002" s="7">
        <v>739032.26880000008</v>
      </c>
      <c r="O1002" s="7">
        <v>786330.33400320017</v>
      </c>
      <c r="Q1002" s="7">
        <v>836655.47537940508</v>
      </c>
      <c r="T1002" t="s">
        <v>281</v>
      </c>
      <c r="Y1002" s="7">
        <v>1621406.73</v>
      </c>
      <c r="AA1002" s="7">
        <v>2242771.3179666665</v>
      </c>
      <c r="AC1002" s="7">
        <v>2946943.5250323336</v>
      </c>
      <c r="AE1002" s="7">
        <v>3733860.1587705039</v>
      </c>
      <c r="AG1002" s="7">
        <v>4607642.1481596213</v>
      </c>
    </row>
    <row r="1003" spans="2:33">
      <c r="C1003" t="s">
        <v>181</v>
      </c>
      <c r="I1003" s="7">
        <v>0</v>
      </c>
      <c r="K1003" s="7">
        <v>0</v>
      </c>
      <c r="M1003" s="7">
        <v>0</v>
      </c>
      <c r="O1003" s="7">
        <v>0</v>
      </c>
      <c r="Q1003" s="7">
        <v>0</v>
      </c>
      <c r="T1003" t="s">
        <v>165</v>
      </c>
      <c r="Y1003" s="7">
        <v>0</v>
      </c>
      <c r="AA1003" s="7">
        <v>0</v>
      </c>
      <c r="AC1003" s="7">
        <v>0</v>
      </c>
      <c r="AE1003" s="7">
        <v>0</v>
      </c>
      <c r="AG1003" s="7">
        <v>0</v>
      </c>
    </row>
    <row r="1004" spans="2:33">
      <c r="C1004" t="s">
        <v>110</v>
      </c>
      <c r="I1004" s="7">
        <v>0</v>
      </c>
      <c r="K1004" s="7">
        <v>0</v>
      </c>
      <c r="M1004" s="7">
        <v>0</v>
      </c>
      <c r="O1004" s="7">
        <v>0</v>
      </c>
      <c r="Q1004" s="7">
        <v>0</v>
      </c>
      <c r="T1004" t="s">
        <v>202</v>
      </c>
      <c r="Y1004" s="7">
        <v>1725710</v>
      </c>
      <c r="AA1004" s="7">
        <v>1725710</v>
      </c>
      <c r="AC1004" s="7">
        <v>1725710</v>
      </c>
      <c r="AE1004" s="7">
        <v>1725710</v>
      </c>
      <c r="AG1004" s="7">
        <v>1725710</v>
      </c>
    </row>
    <row r="1005" spans="2:33" ht="15" thickBot="1">
      <c r="C1005" t="s">
        <v>125</v>
      </c>
      <c r="I1005" s="54">
        <v>0</v>
      </c>
      <c r="K1005" s="54">
        <v>0</v>
      </c>
      <c r="M1005" s="54">
        <v>0</v>
      </c>
      <c r="O1005" s="54">
        <v>0</v>
      </c>
      <c r="Q1005" s="54">
        <v>0</v>
      </c>
      <c r="T1005" t="s">
        <v>203</v>
      </c>
      <c r="Y1005" s="54">
        <v>5000</v>
      </c>
      <c r="AA1005" s="54">
        <v>5000</v>
      </c>
      <c r="AC1005" s="54">
        <v>5000</v>
      </c>
      <c r="AE1005" s="54">
        <v>5000</v>
      </c>
      <c r="AG1005" s="54">
        <v>5000</v>
      </c>
    </row>
    <row r="1006" spans="2:33" ht="15" thickTop="1"/>
    <row r="1007" spans="2:33">
      <c r="C1007" t="s">
        <v>182</v>
      </c>
      <c r="I1007" s="7">
        <v>652800</v>
      </c>
      <c r="K1007" s="7">
        <v>694579.20000000007</v>
      </c>
      <c r="M1007" s="7">
        <v>739032.26880000008</v>
      </c>
      <c r="O1007" s="7">
        <v>786330.33400320017</v>
      </c>
      <c r="Q1007" s="7">
        <v>836655.47537940508</v>
      </c>
      <c r="T1007" t="s">
        <v>166</v>
      </c>
      <c r="Y1007" s="7">
        <v>3352116.73</v>
      </c>
      <c r="AA1007" s="7">
        <v>3973481.3179666665</v>
      </c>
      <c r="AC1007" s="7">
        <v>4677653.525032334</v>
      </c>
      <c r="AE1007" s="7">
        <v>5464570.1587705035</v>
      </c>
      <c r="AG1007" s="7">
        <v>6338352.1481596213</v>
      </c>
    </row>
    <row r="1009" spans="2:33">
      <c r="B1009" s="6" t="s">
        <v>183</v>
      </c>
      <c r="S1009" s="6" t="s">
        <v>204</v>
      </c>
    </row>
    <row r="1011" spans="2:33">
      <c r="C1011" t="s">
        <v>184</v>
      </c>
      <c r="I1011" s="7">
        <v>135558.48000000001</v>
      </c>
      <c r="K1011" s="7">
        <v>169839.20633333334</v>
      </c>
      <c r="M1011" s="7">
        <v>160580.94816666667</v>
      </c>
      <c r="O1011" s="7">
        <v>158312.10166666668</v>
      </c>
      <c r="Q1011" s="7">
        <v>159025.69083333336</v>
      </c>
      <c r="T1011" t="s">
        <v>205</v>
      </c>
      <c r="Y1011" s="7">
        <v>288061.77</v>
      </c>
      <c r="AA1011" s="7">
        <v>304778.63033333333</v>
      </c>
      <c r="AC1011" s="7">
        <v>295864.34883333335</v>
      </c>
      <c r="AE1011" s="7">
        <v>289218.91383333335</v>
      </c>
      <c r="AG1011" s="7">
        <v>281859.88966666668</v>
      </c>
    </row>
    <row r="1012" spans="2:33" ht="15" thickBot="1">
      <c r="C1012" t="s">
        <v>185</v>
      </c>
      <c r="I1012" s="54">
        <v>38228.770000000019</v>
      </c>
      <c r="K1012" s="54">
        <v>16716.860333333316</v>
      </c>
      <c r="M1012" s="54">
        <v>-8914.2814999999828</v>
      </c>
      <c r="O1012" s="54">
        <v>-6645.4349999999977</v>
      </c>
      <c r="Q1012" s="54">
        <v>-7359.0241666666698</v>
      </c>
      <c r="T1012" t="s">
        <v>206</v>
      </c>
      <c r="Y1012" s="54">
        <v>420078</v>
      </c>
      <c r="AA1012" s="54">
        <v>420078</v>
      </c>
      <c r="AC1012" s="54">
        <v>420078</v>
      </c>
      <c r="AE1012" s="54">
        <v>420078</v>
      </c>
      <c r="AG1012" s="54">
        <v>420078</v>
      </c>
    </row>
    <row r="1013" spans="2:33" ht="15" thickTop="1"/>
    <row r="1014" spans="2:33">
      <c r="C1014" t="s">
        <v>186</v>
      </c>
      <c r="I1014" s="7">
        <v>173787.25000000003</v>
      </c>
      <c r="K1014" s="7">
        <v>186556.06666666665</v>
      </c>
      <c r="M1014" s="7">
        <v>151666.66666666669</v>
      </c>
      <c r="O1014" s="7">
        <v>151666.66666666669</v>
      </c>
      <c r="Q1014" s="7">
        <v>151666.66666666669</v>
      </c>
      <c r="T1014" t="s">
        <v>167</v>
      </c>
      <c r="Y1014" s="7">
        <v>708139.77</v>
      </c>
      <c r="AA1014" s="7">
        <v>724856.63033333328</v>
      </c>
      <c r="AC1014" s="7">
        <v>715942.34883333335</v>
      </c>
      <c r="AE1014" s="7">
        <v>709296.91383333341</v>
      </c>
      <c r="AG1014" s="7">
        <v>701937.88966666674</v>
      </c>
    </row>
    <row r="1016" spans="2:33">
      <c r="C1016" t="s">
        <v>164</v>
      </c>
      <c r="I1016" s="7">
        <v>479012.75</v>
      </c>
      <c r="K1016" s="7">
        <v>508023.13333333342</v>
      </c>
      <c r="M1016" s="7">
        <v>587365.60213333345</v>
      </c>
      <c r="O1016" s="7">
        <v>634663.66733653354</v>
      </c>
      <c r="Q1016" s="7">
        <v>684988.80871273833</v>
      </c>
      <c r="S1016" s="6" t="s">
        <v>169</v>
      </c>
      <c r="Y1016" s="7">
        <v>2643976.96</v>
      </c>
      <c r="AA1016" s="7">
        <v>3248624.6876333333</v>
      </c>
      <c r="AC1016" s="7">
        <v>3961711.1761990008</v>
      </c>
      <c r="AE1016" s="7">
        <v>4755273.2449371703</v>
      </c>
      <c r="AG1016" s="7">
        <v>5636414.2584929541</v>
      </c>
    </row>
    <row r="1017" spans="2:33">
      <c r="S1017" s="6"/>
    </row>
    <row r="1018" spans="2:33" ht="6.75" customHeight="1">
      <c r="S1018" s="32"/>
      <c r="T1018" s="32"/>
      <c r="U1018" s="32"/>
      <c r="V1018" s="32"/>
      <c r="W1018" s="32"/>
      <c r="X1018" s="32"/>
      <c r="Y1018" s="25"/>
      <c r="Z1018" s="32"/>
      <c r="AA1018" s="25"/>
      <c r="AB1018" s="32"/>
      <c r="AC1018" s="25"/>
      <c r="AD1018" s="32"/>
      <c r="AE1018" s="25"/>
      <c r="AF1018" s="32"/>
      <c r="AG1018" s="25"/>
    </row>
    <row r="1019" spans="2:33" ht="26">
      <c r="C1019" t="s">
        <v>163</v>
      </c>
      <c r="S1019" s="23" t="s">
        <v>53</v>
      </c>
      <c r="X1019" s="5"/>
      <c r="Y1019"/>
      <c r="AA1019"/>
      <c r="AC1019"/>
      <c r="AE1019" t="s">
        <v>284</v>
      </c>
      <c r="AG1019" t="s">
        <v>302</v>
      </c>
    </row>
    <row r="1020" spans="2:33" ht="15.75" customHeight="1">
      <c r="D1020" t="s">
        <v>187</v>
      </c>
      <c r="I1020" s="7">
        <v>63816.740000000005</v>
      </c>
      <c r="K1020" s="7">
        <v>65731.242200000008</v>
      </c>
      <c r="M1020" s="7">
        <v>67703.179466000016</v>
      </c>
      <c r="O1020" s="7">
        <v>69734.274849980022</v>
      </c>
      <c r="Q1020" s="7">
        <v>71826.303095479423</v>
      </c>
      <c r="S1020" s="5"/>
    </row>
    <row r="1021" spans="2:33" ht="15" thickBot="1">
      <c r="D1021" t="s">
        <v>188</v>
      </c>
      <c r="I1021" s="7">
        <v>0</v>
      </c>
      <c r="K1021" s="7">
        <v>0</v>
      </c>
      <c r="M1021" s="7">
        <v>0</v>
      </c>
      <c r="O1021" s="7">
        <v>0</v>
      </c>
      <c r="Q1021" s="7">
        <v>0</v>
      </c>
      <c r="Y1021" s="33"/>
      <c r="Z1021" s="34"/>
      <c r="AA1021" s="33"/>
      <c r="AB1021" s="34"/>
      <c r="AC1021" s="35" t="s">
        <v>59</v>
      </c>
      <c r="AD1021" s="34"/>
      <c r="AE1021" s="33"/>
      <c r="AF1021" s="34"/>
      <c r="AG1021" s="33"/>
    </row>
    <row r="1022" spans="2:33">
      <c r="D1022" t="s">
        <v>189</v>
      </c>
      <c r="I1022" s="7">
        <v>0</v>
      </c>
      <c r="K1022" s="7">
        <v>0</v>
      </c>
      <c r="M1022" s="7">
        <v>0</v>
      </c>
      <c r="O1022" s="7">
        <v>0</v>
      </c>
      <c r="Q1022" s="7">
        <v>0</v>
      </c>
      <c r="S1022" s="22" t="s">
        <v>74</v>
      </c>
      <c r="Y1022" s="10">
        <v>43465</v>
      </c>
      <c r="Z1022" s="8"/>
      <c r="AA1022" s="10">
        <v>43830</v>
      </c>
      <c r="AB1022" s="8"/>
      <c r="AC1022" s="10">
        <v>44196</v>
      </c>
      <c r="AD1022" s="8"/>
      <c r="AE1022" s="10">
        <v>44561</v>
      </c>
      <c r="AF1022" s="8"/>
      <c r="AG1022" s="10">
        <v>44926</v>
      </c>
    </row>
    <row r="1023" spans="2:33">
      <c r="D1023" t="s">
        <v>190</v>
      </c>
      <c r="I1023" s="7">
        <v>0</v>
      </c>
      <c r="K1023" s="7">
        <v>0</v>
      </c>
      <c r="M1023" s="7">
        <v>0</v>
      </c>
      <c r="O1023" s="7">
        <v>0</v>
      </c>
      <c r="Q1023" s="7">
        <v>0</v>
      </c>
      <c r="Y1023"/>
      <c r="AA1023"/>
      <c r="AC1023"/>
      <c r="AE1023"/>
      <c r="AG1023"/>
    </row>
    <row r="1024" spans="2:33">
      <c r="D1024" t="s">
        <v>111</v>
      </c>
      <c r="I1024" s="7">
        <v>5000</v>
      </c>
      <c r="K1024" s="7">
        <v>5000</v>
      </c>
      <c r="M1024" s="7">
        <v>5000</v>
      </c>
      <c r="O1024" s="7">
        <v>5000</v>
      </c>
      <c r="Q1024" s="7">
        <v>5000</v>
      </c>
      <c r="S1024" t="s">
        <v>115</v>
      </c>
      <c r="Y1024" s="94">
        <v>0.24690078993729203</v>
      </c>
      <c r="AA1024" s="94">
        <v>0.21380715434567801</v>
      </c>
      <c r="AC1024" s="94">
        <v>0.18654370193363073</v>
      </c>
      <c r="AE1024" s="94">
        <v>0.16535965306313111</v>
      </c>
      <c r="AG1024" s="94">
        <v>0.14843754149523908</v>
      </c>
    </row>
    <row r="1025" spans="2:33" ht="15" thickBot="1">
      <c r="D1025" t="s">
        <v>191</v>
      </c>
      <c r="I1025" s="54">
        <v>0</v>
      </c>
      <c r="K1025" s="54">
        <v>0</v>
      </c>
      <c r="M1025" s="54">
        <v>0</v>
      </c>
      <c r="O1025" s="54">
        <v>0</v>
      </c>
      <c r="Q1025" s="54">
        <v>0</v>
      </c>
      <c r="S1025" t="s">
        <v>116</v>
      </c>
      <c r="Y1025" s="94">
        <v>0.24690078993729203</v>
      </c>
      <c r="AA1025" s="94">
        <v>0.21380715434567801</v>
      </c>
      <c r="AC1025" s="94">
        <v>0.18654370193363073</v>
      </c>
      <c r="AE1025" s="94">
        <v>0.16535965306313111</v>
      </c>
      <c r="AG1025" s="94">
        <v>0.14843754149523908</v>
      </c>
    </row>
    <row r="1026" spans="2:33" ht="15" thickTop="1">
      <c r="S1026" t="s">
        <v>242</v>
      </c>
      <c r="Y1026" s="94">
        <v>0.18910906092010726</v>
      </c>
      <c r="AA1026" s="94">
        <v>0.15391128495186582</v>
      </c>
      <c r="AC1026" s="94">
        <v>0.12620808982842532</v>
      </c>
      <c r="AE1026" s="94">
        <v>0.10514642886869613</v>
      </c>
      <c r="AG1026" s="94">
        <v>8.8708880694246262E-2</v>
      </c>
    </row>
    <row r="1027" spans="2:33">
      <c r="D1027" t="s">
        <v>192</v>
      </c>
      <c r="I1027" s="7">
        <v>68816.740000000005</v>
      </c>
      <c r="K1027" s="7">
        <v>70731.242200000008</v>
      </c>
      <c r="M1027" s="7">
        <v>72703.179466000016</v>
      </c>
      <c r="O1027" s="7">
        <v>74734.274849980022</v>
      </c>
      <c r="Q1027" s="7">
        <v>76826.303095479423</v>
      </c>
      <c r="S1027" t="s">
        <v>48</v>
      </c>
      <c r="Y1027" s="94">
        <v>8.3605475104941748E-2</v>
      </c>
      <c r="AA1027" s="94">
        <v>7.5727384674828271E-2</v>
      </c>
      <c r="AC1027" s="94">
        <v>5.4490677138071313E-2</v>
      </c>
      <c r="AE1027" s="94">
        <v>4.2399044135277994E-2</v>
      </c>
      <c r="AG1027" s="94">
        <v>3.4513463875846175E-2</v>
      </c>
    </row>
    <row r="1028" spans="2:33">
      <c r="S1028" t="s">
        <v>207</v>
      </c>
      <c r="Y1028" s="97">
        <v>7465</v>
      </c>
      <c r="AA1028" s="7">
        <v>41779.20000000007</v>
      </c>
      <c r="AC1028" s="7">
        <v>44453.068800000008</v>
      </c>
      <c r="AE1028" s="7">
        <v>47298.065203200094</v>
      </c>
      <c r="AG1028" s="7">
        <v>50325.141376204905</v>
      </c>
    </row>
    <row r="1029" spans="2:33">
      <c r="C1029" t="s">
        <v>193</v>
      </c>
      <c r="I1029" s="7">
        <v>410196.01</v>
      </c>
      <c r="K1029" s="7">
        <v>437291.89113333344</v>
      </c>
      <c r="M1029" s="7">
        <v>514662.42266733345</v>
      </c>
      <c r="O1029" s="7">
        <v>559929.39248655352</v>
      </c>
      <c r="Q1029" s="7">
        <v>608162.50561725895</v>
      </c>
      <c r="S1029" t="s">
        <v>118</v>
      </c>
      <c r="Y1029" s="97">
        <v>548228.96</v>
      </c>
      <c r="AA1029" s="7">
        <v>604647.7276333333</v>
      </c>
      <c r="AC1029" s="7">
        <v>713086.48856566753</v>
      </c>
      <c r="AE1029" s="7">
        <v>793562.0687381695</v>
      </c>
      <c r="AG1029" s="7">
        <v>881141.01355578378</v>
      </c>
    </row>
    <row r="1030" spans="2:33">
      <c r="S1030" t="s">
        <v>119</v>
      </c>
      <c r="Y1030" s="94">
        <v>1.4458813589661544E-2</v>
      </c>
      <c r="AA1030" s="94">
        <v>6.3226195183385091E-3</v>
      </c>
      <c r="AC1030" s="94">
        <v>-2.7440170401752863E-3</v>
      </c>
      <c r="AE1030" s="94">
        <v>-1.6774153148579225E-3</v>
      </c>
      <c r="AG1030" s="94">
        <v>-1.5475502221668656E-3</v>
      </c>
    </row>
    <row r="1031" spans="2:33">
      <c r="B1031" s="6" t="s">
        <v>168</v>
      </c>
      <c r="S1031" t="s">
        <v>280</v>
      </c>
      <c r="Y1031" s="94">
        <v>5.2206563101064245E-2</v>
      </c>
      <c r="AA1031" s="94">
        <v>5.1515903679818731E-2</v>
      </c>
      <c r="AC1031" s="94">
        <v>5.0085444666036476E-2</v>
      </c>
      <c r="AE1031" s="94">
        <v>4.9131283149787458E-2</v>
      </c>
      <c r="AG1031" s="94">
        <v>4.8431235785623972E-2</v>
      </c>
    </row>
    <row r="1032" spans="2:33">
      <c r="S1032" t="s">
        <v>124</v>
      </c>
      <c r="Y1032" s="94">
        <v>0</v>
      </c>
      <c r="AA1032" s="94">
        <v>0</v>
      </c>
      <c r="AC1032" s="94">
        <v>0</v>
      </c>
      <c r="AE1032" s="94">
        <v>0</v>
      </c>
      <c r="AG1032" s="94">
        <v>0</v>
      </c>
    </row>
    <row r="1033" spans="2:33">
      <c r="C1033" t="s">
        <v>279</v>
      </c>
      <c r="I1033" s="7">
        <v>138032.95000000001</v>
      </c>
      <c r="K1033" s="7">
        <v>167355.8365</v>
      </c>
      <c r="M1033" s="7">
        <v>198424.06589833333</v>
      </c>
      <c r="O1033" s="7">
        <v>233632.67625161671</v>
      </c>
      <c r="Q1033" s="7">
        <v>272978.50793852517</v>
      </c>
      <c r="S1033" t="s">
        <v>127</v>
      </c>
      <c r="Y1033" s="94">
        <v>1.4458813589661544E-2</v>
      </c>
      <c r="AA1033" s="94">
        <v>6.3226195183385091E-3</v>
      </c>
      <c r="AC1033" s="94">
        <v>-2.7440170401752863E-3</v>
      </c>
      <c r="AE1033" s="94">
        <v>-1.6774153148579225E-3</v>
      </c>
      <c r="AG1033" s="94">
        <v>-1.5475502221668656E-3</v>
      </c>
    </row>
    <row r="1034" spans="2:33" ht="15" thickBot="1">
      <c r="C1034" t="s">
        <v>194</v>
      </c>
      <c r="I1034" s="54">
        <v>0</v>
      </c>
      <c r="K1034" s="54">
        <v>0</v>
      </c>
      <c r="M1034" s="54">
        <v>0</v>
      </c>
      <c r="O1034" s="54">
        <v>0</v>
      </c>
      <c r="Q1034" s="54">
        <v>0</v>
      </c>
      <c r="S1034" t="s">
        <v>128</v>
      </c>
      <c r="Y1034" s="94">
        <v>0.43674406729519372</v>
      </c>
      <c r="AA1034" s="94">
        <v>0.32319685227225942</v>
      </c>
      <c r="AC1034" s="94">
        <v>0.24294403430261804</v>
      </c>
      <c r="AE1034" s="94">
        <v>0.18996343828444093</v>
      </c>
      <c r="AG1034" s="94">
        <v>0.15234210190282113</v>
      </c>
    </row>
    <row r="1035" spans="2:33" ht="15" thickTop="1">
      <c r="S1035" t="s">
        <v>73</v>
      </c>
      <c r="Y1035" s="94">
        <v>0.26621821384803929</v>
      </c>
      <c r="AA1035" s="94">
        <v>0.26858861691606462</v>
      </c>
      <c r="AC1035" s="94">
        <v>0.20522333471708168</v>
      </c>
      <c r="AE1035" s="94">
        <v>0.1928790739822196</v>
      </c>
      <c r="AG1035" s="94">
        <v>0.181277325171259</v>
      </c>
    </row>
    <row r="1036" spans="2:33">
      <c r="C1036" t="s">
        <v>195</v>
      </c>
      <c r="I1036" s="7">
        <v>138032.95000000001</v>
      </c>
      <c r="K1036" s="7">
        <v>167355.8365</v>
      </c>
      <c r="M1036" s="7">
        <v>198424.06589833333</v>
      </c>
      <c r="O1036" s="7">
        <v>233632.67625161671</v>
      </c>
      <c r="Q1036" s="7">
        <v>272978.50793852517</v>
      </c>
      <c r="S1036" t="s">
        <v>132</v>
      </c>
      <c r="Y1036" s="94">
        <v>0.10541780024509805</v>
      </c>
      <c r="AA1036" s="94">
        <v>0.1018332282337277</v>
      </c>
      <c r="AC1036" s="94">
        <v>9.8376190777232822E-2</v>
      </c>
      <c r="AE1036" s="94">
        <v>9.5041831172286775E-2</v>
      </c>
      <c r="AG1036" s="94">
        <v>9.1825494909526961E-2</v>
      </c>
    </row>
    <row r="1037" spans="2:33">
      <c r="S1037" t="s">
        <v>134</v>
      </c>
      <c r="Y1037" s="94">
        <v>0</v>
      </c>
      <c r="AA1037" s="94">
        <v>0</v>
      </c>
      <c r="AC1037" s="94">
        <v>0</v>
      </c>
      <c r="AE1037" s="94">
        <v>0</v>
      </c>
      <c r="AG1037" s="94">
        <v>0</v>
      </c>
    </row>
    <row r="1038" spans="2:33">
      <c r="B1038" s="6" t="s">
        <v>112</v>
      </c>
      <c r="I1038" s="7">
        <v>548228.96</v>
      </c>
      <c r="K1038" s="7">
        <v>604647.72763333342</v>
      </c>
      <c r="M1038" s="7">
        <v>713086.48856566683</v>
      </c>
      <c r="O1038" s="7">
        <v>793562.0687381702</v>
      </c>
      <c r="Q1038" s="7">
        <v>881141.01355578413</v>
      </c>
      <c r="S1038" t="s">
        <v>135</v>
      </c>
      <c r="Y1038" s="94">
        <v>0.4770538143382354</v>
      </c>
      <c r="AA1038" s="94">
        <v>0.47225507338352002</v>
      </c>
      <c r="AC1038" s="94">
        <v>0.40197571627154732</v>
      </c>
      <c r="AE1038" s="94">
        <v>0.38296273632679312</v>
      </c>
      <c r="AG1038" s="94">
        <v>0.36492831499031292</v>
      </c>
    </row>
    <row r="1039" spans="2:33">
      <c r="B1039" s="6"/>
      <c r="S1039" t="s">
        <v>47</v>
      </c>
      <c r="Y1039" s="94">
        <v>0.21144753370098041</v>
      </c>
      <c r="AA1039" s="94">
        <v>0.24094564953859832</v>
      </c>
      <c r="AC1039" s="94">
        <v>0.26849174829743688</v>
      </c>
      <c r="AE1039" s="94">
        <v>0.29711772031252437</v>
      </c>
      <c r="AG1039" s="94">
        <v>0.32627349724178323</v>
      </c>
    </row>
    <row r="1040" spans="2:33">
      <c r="B1040" s="6" t="s">
        <v>196</v>
      </c>
      <c r="I1040" s="7">
        <v>0</v>
      </c>
      <c r="K1040" s="7">
        <v>0</v>
      </c>
      <c r="M1040" s="7">
        <v>0</v>
      </c>
      <c r="O1040" s="7">
        <v>0</v>
      </c>
      <c r="Q1040" s="7">
        <v>0</v>
      </c>
      <c r="S1040" t="s">
        <v>114</v>
      </c>
      <c r="Y1040" s="94">
        <v>0.265606280637255</v>
      </c>
      <c r="AA1040" s="94">
        <v>0.2313094238449217</v>
      </c>
      <c r="AC1040" s="94">
        <v>0.13348396797411044</v>
      </c>
      <c r="AE1040" s="94">
        <v>8.5845016014268749E-2</v>
      </c>
      <c r="AG1040" s="94">
        <v>3.8654817748529691E-2</v>
      </c>
    </row>
    <row r="1041" spans="2:33">
      <c r="B1041" s="6"/>
      <c r="S1041" t="s">
        <v>38</v>
      </c>
      <c r="Y1041" s="94">
        <v>4.7336936463828323</v>
      </c>
      <c r="AA1041" s="94">
        <v>5.4817479094306103</v>
      </c>
      <c r="AC1041" s="94">
        <v>6.5335617213520374</v>
      </c>
      <c r="AE1041" s="94">
        <v>7.7042068733074132</v>
      </c>
      <c r="AG1041" s="94">
        <v>9.0297905861294243</v>
      </c>
    </row>
    <row r="1042" spans="2:33">
      <c r="B1042" s="6" t="s">
        <v>113</v>
      </c>
      <c r="I1042" s="7">
        <v>0</v>
      </c>
      <c r="K1042" s="7">
        <v>0</v>
      </c>
      <c r="M1042" s="7">
        <v>0</v>
      </c>
      <c r="O1042" s="7">
        <v>0</v>
      </c>
      <c r="Q1042" s="7">
        <v>0</v>
      </c>
      <c r="S1042" t="s">
        <v>39</v>
      </c>
      <c r="Y1042" s="7">
        <v>448424.78</v>
      </c>
      <c r="AA1042" s="7">
        <v>454008.75146666681</v>
      </c>
      <c r="AC1042" s="7">
        <v>505748.14116733341</v>
      </c>
      <c r="AE1042" s="7">
        <v>553283.95748655347</v>
      </c>
      <c r="AG1042" s="7">
        <v>600803.48145059228</v>
      </c>
    </row>
    <row r="1043" spans="2:33">
      <c r="B1043" s="6"/>
      <c r="S1043" t="s">
        <v>44</v>
      </c>
      <c r="Y1043" s="7">
        <v>448424.78</v>
      </c>
      <c r="AA1043" s="7">
        <v>454008.75146666681</v>
      </c>
      <c r="AC1043" s="7">
        <v>505748.14116733341</v>
      </c>
      <c r="AE1043" s="7">
        <v>553283.95748655347</v>
      </c>
      <c r="AG1043" s="7">
        <v>600803.48145059228</v>
      </c>
    </row>
    <row r="1044" spans="2:33">
      <c r="B1044" s="6" t="s">
        <v>162</v>
      </c>
      <c r="I1044" s="7">
        <v>548228.96</v>
      </c>
      <c r="K1044" s="7">
        <v>604647.72763333342</v>
      </c>
      <c r="M1044" s="7">
        <v>713086.48856566683</v>
      </c>
      <c r="O1044" s="7">
        <v>793562.0687381702</v>
      </c>
      <c r="Q1044" s="7">
        <v>881141.01355578413</v>
      </c>
      <c r="S1044" t="s">
        <v>51</v>
      </c>
      <c r="Y1044" s="94">
        <v>0.83981151960784306</v>
      </c>
      <c r="AA1044" s="94">
        <v>0.87052380438880594</v>
      </c>
      <c r="AC1044" s="94">
        <v>0.96489222280312259</v>
      </c>
      <c r="AE1044" s="94">
        <v>1.009196815158018</v>
      </c>
      <c r="AG1044" s="94">
        <v>1.0531706771609972</v>
      </c>
    </row>
    <row r="1046" spans="2:33" ht="6.75" customHeight="1">
      <c r="B1046" s="32"/>
      <c r="C1046" s="32"/>
      <c r="D1046" s="32"/>
      <c r="E1046" s="32"/>
      <c r="F1046" s="32"/>
      <c r="G1046" s="32"/>
      <c r="H1046" s="32"/>
      <c r="I1046" s="25"/>
      <c r="J1046" s="32"/>
      <c r="K1046" s="25"/>
      <c r="L1046" s="32"/>
      <c r="M1046" s="25"/>
      <c r="N1046" s="32"/>
      <c r="O1046" s="25"/>
      <c r="P1046" s="32"/>
      <c r="Q1046" s="25"/>
      <c r="S1046" s="32"/>
      <c r="T1046" s="32"/>
      <c r="U1046" s="32"/>
      <c r="V1046" s="32"/>
      <c r="W1046" s="32"/>
      <c r="X1046" s="32"/>
      <c r="Y1046" s="25"/>
      <c r="Z1046" s="32"/>
      <c r="AA1046" s="25"/>
      <c r="AB1046" s="32"/>
      <c r="AC1046" s="25"/>
      <c r="AD1046" s="32"/>
      <c r="AE1046" s="25"/>
      <c r="AF1046" s="32"/>
      <c r="AG1046" s="25"/>
    </row>
    <row r="1049" spans="2:33" ht="26">
      <c r="B1049" s="5" t="s">
        <v>198</v>
      </c>
      <c r="S1049" s="5">
        <v>0</v>
      </c>
    </row>
    <row r="1051" spans="2:33" ht="26">
      <c r="B1051" s="5" t="s">
        <v>179</v>
      </c>
      <c r="O1051" s="7" t="s">
        <v>284</v>
      </c>
      <c r="Q1051" s="7" t="s">
        <v>303</v>
      </c>
      <c r="S1051" s="5" t="s">
        <v>200</v>
      </c>
      <c r="AE1051" s="7" t="s">
        <v>284</v>
      </c>
      <c r="AG1051" s="7" t="s">
        <v>303</v>
      </c>
    </row>
    <row r="1052" spans="2:33" ht="6.75" customHeight="1">
      <c r="B1052" s="43"/>
      <c r="C1052" s="32"/>
      <c r="D1052" s="32"/>
      <c r="E1052" s="32"/>
      <c r="F1052" s="32"/>
      <c r="G1052" s="32"/>
      <c r="H1052" s="32"/>
      <c r="I1052" s="25"/>
      <c r="J1052" s="32"/>
      <c r="K1052" s="25"/>
      <c r="L1052" s="32"/>
      <c r="M1052" s="25"/>
      <c r="N1052" s="32"/>
      <c r="O1052" s="25"/>
      <c r="P1052" s="32"/>
      <c r="Q1052" s="25"/>
      <c r="S1052" s="43"/>
      <c r="T1052" s="32"/>
      <c r="U1052" s="32"/>
      <c r="V1052" s="32"/>
      <c r="W1052" s="32"/>
      <c r="X1052" s="32"/>
      <c r="Y1052" s="25"/>
      <c r="Z1052" s="32"/>
      <c r="AA1052" s="25"/>
      <c r="AB1052" s="32"/>
      <c r="AC1052" s="25"/>
      <c r="AD1052" s="32"/>
      <c r="AE1052" s="25"/>
      <c r="AF1052" s="32"/>
      <c r="AG1052" s="25"/>
    </row>
    <row r="1053" spans="2:33" ht="17.25" customHeight="1">
      <c r="B1053" s="5"/>
      <c r="S1053" s="5"/>
    </row>
    <row r="1054" spans="2:33" ht="15" thickBot="1">
      <c r="I1054" s="33"/>
      <c r="J1054" s="34"/>
      <c r="K1054" s="33"/>
      <c r="L1054" s="34"/>
      <c r="M1054" s="35" t="s">
        <v>58</v>
      </c>
      <c r="N1054" s="34"/>
      <c r="O1054" s="33"/>
      <c r="P1054" s="34"/>
      <c r="Q1054" s="33"/>
      <c r="Y1054" s="33"/>
      <c r="Z1054" s="34"/>
      <c r="AA1054" s="33"/>
      <c r="AB1054" s="34"/>
      <c r="AC1054" s="35" t="s">
        <v>59</v>
      </c>
      <c r="AD1054" s="34"/>
      <c r="AE1054" s="33"/>
      <c r="AF1054" s="34"/>
      <c r="AG1054" s="33"/>
    </row>
    <row r="1055" spans="2:33">
      <c r="B1055" s="6" t="s">
        <v>180</v>
      </c>
      <c r="I1055" s="8">
        <v>2019</v>
      </c>
      <c r="J1055" s="8"/>
      <c r="K1055" s="8">
        <v>2020</v>
      </c>
      <c r="L1055" s="8"/>
      <c r="M1055" s="8">
        <v>2021</v>
      </c>
      <c r="N1055" s="8"/>
      <c r="O1055" s="8">
        <v>2022</v>
      </c>
      <c r="P1055" s="8"/>
      <c r="Q1055" s="8">
        <v>2023</v>
      </c>
      <c r="S1055" s="6" t="s">
        <v>201</v>
      </c>
      <c r="Y1055" s="10">
        <v>43465</v>
      </c>
      <c r="Z1055" s="8"/>
      <c r="AA1055" s="10">
        <v>43830</v>
      </c>
      <c r="AB1055" s="8"/>
      <c r="AC1055" s="10">
        <v>44196</v>
      </c>
      <c r="AD1055" s="8"/>
      <c r="AE1055" s="10">
        <v>44561</v>
      </c>
      <c r="AF1055" s="8"/>
      <c r="AG1055" s="10">
        <v>44926</v>
      </c>
    </row>
    <row r="1057" spans="2:33">
      <c r="C1057" t="s">
        <v>86</v>
      </c>
      <c r="I1057" s="7">
        <v>652800</v>
      </c>
      <c r="K1057" s="7">
        <v>694579.20000000007</v>
      </c>
      <c r="M1057" s="7">
        <v>739032.26880000008</v>
      </c>
      <c r="O1057" s="7">
        <v>786330.33400320017</v>
      </c>
      <c r="Q1057" s="7">
        <v>836655.47537940508</v>
      </c>
      <c r="T1057" t="s">
        <v>281</v>
      </c>
      <c r="Y1057" s="7">
        <v>1582605.7859999998</v>
      </c>
      <c r="AA1057" s="7">
        <v>2181669.1677666665</v>
      </c>
      <c r="AC1057" s="7">
        <v>2873669.5688223331</v>
      </c>
      <c r="AE1057" s="7">
        <v>3604151.0890833368</v>
      </c>
      <c r="AG1057" s="7">
        <v>4429171.7398214294</v>
      </c>
    </row>
    <row r="1058" spans="2:33">
      <c r="C1058" t="s">
        <v>181</v>
      </c>
      <c r="I1058" s="7">
        <v>0</v>
      </c>
      <c r="K1058" s="7">
        <v>0</v>
      </c>
      <c r="M1058" s="7">
        <v>0</v>
      </c>
      <c r="O1058" s="7">
        <v>0</v>
      </c>
      <c r="Q1058" s="7">
        <v>0</v>
      </c>
      <c r="T1058" t="s">
        <v>165</v>
      </c>
      <c r="Y1058" s="7">
        <v>0</v>
      </c>
      <c r="AA1058" s="7">
        <v>0</v>
      </c>
      <c r="AC1058" s="7">
        <v>0</v>
      </c>
      <c r="AE1058" s="7">
        <v>0</v>
      </c>
      <c r="AG1058" s="7">
        <v>0</v>
      </c>
    </row>
    <row r="1059" spans="2:33">
      <c r="C1059" t="s">
        <v>110</v>
      </c>
      <c r="I1059" s="7">
        <v>0</v>
      </c>
      <c r="K1059" s="7">
        <v>0</v>
      </c>
      <c r="M1059" s="7">
        <v>0</v>
      </c>
      <c r="O1059" s="7">
        <v>0</v>
      </c>
      <c r="Q1059" s="7">
        <v>0</v>
      </c>
      <c r="T1059" t="s">
        <v>202</v>
      </c>
      <c r="Y1059" s="7">
        <v>1725710</v>
      </c>
      <c r="AA1059" s="7">
        <v>1725710</v>
      </c>
      <c r="AC1059" s="7">
        <v>1725710</v>
      </c>
      <c r="AE1059" s="7">
        <v>1725710</v>
      </c>
      <c r="AG1059" s="7">
        <v>1725710</v>
      </c>
    </row>
    <row r="1060" spans="2:33" ht="15" thickBot="1">
      <c r="C1060" t="s">
        <v>125</v>
      </c>
      <c r="I1060" s="54">
        <v>0</v>
      </c>
      <c r="K1060" s="54">
        <v>0</v>
      </c>
      <c r="M1060" s="54">
        <v>0</v>
      </c>
      <c r="O1060" s="54">
        <v>0</v>
      </c>
      <c r="Q1060" s="54">
        <v>0</v>
      </c>
      <c r="T1060" t="s">
        <v>203</v>
      </c>
      <c r="Y1060" s="54">
        <v>5000</v>
      </c>
      <c r="AA1060" s="54">
        <v>5000</v>
      </c>
      <c r="AC1060" s="54">
        <v>5000</v>
      </c>
      <c r="AE1060" s="54">
        <v>5000</v>
      </c>
      <c r="AG1060" s="54">
        <v>5000</v>
      </c>
    </row>
    <row r="1061" spans="2:33" ht="15" thickTop="1"/>
    <row r="1062" spans="2:33">
      <c r="C1062" t="s">
        <v>182</v>
      </c>
      <c r="I1062" s="7">
        <v>652800</v>
      </c>
      <c r="K1062" s="7">
        <v>694579.20000000007</v>
      </c>
      <c r="M1062" s="7">
        <v>739032.26880000008</v>
      </c>
      <c r="O1062" s="7">
        <v>786330.33400320017</v>
      </c>
      <c r="Q1062" s="7">
        <v>836655.47537940508</v>
      </c>
      <c r="T1062" t="s">
        <v>166</v>
      </c>
      <c r="Y1062" s="7">
        <v>3313315.7859999998</v>
      </c>
      <c r="AA1062" s="7">
        <v>3912379.1677666665</v>
      </c>
      <c r="AC1062" s="7">
        <v>4604379.5688223336</v>
      </c>
      <c r="AE1062" s="7">
        <v>5334861.0890833363</v>
      </c>
      <c r="AG1062" s="7">
        <v>6159881.7398214294</v>
      </c>
    </row>
    <row r="1064" spans="2:33">
      <c r="B1064" s="6" t="s">
        <v>183</v>
      </c>
      <c r="S1064" s="6" t="s">
        <v>204</v>
      </c>
    </row>
    <row r="1066" spans="2:33">
      <c r="C1066" t="s">
        <v>184</v>
      </c>
      <c r="I1066" s="7">
        <v>174359.424</v>
      </c>
      <c r="K1066" s="7">
        <v>190200.36533333335</v>
      </c>
      <c r="M1066" s="7">
        <v>169697.64666666667</v>
      </c>
      <c r="O1066" s="7">
        <v>211083.51733333335</v>
      </c>
      <c r="Q1066" s="7">
        <v>201301.57600000003</v>
      </c>
      <c r="T1066" t="s">
        <v>205</v>
      </c>
      <c r="Y1066" s="7">
        <v>370513.77599999995</v>
      </c>
      <c r="AA1066" s="7">
        <v>331980.07733333332</v>
      </c>
      <c r="AC1066" s="7">
        <v>313949.09733333334</v>
      </c>
      <c r="AE1066" s="7">
        <v>397905.78</v>
      </c>
      <c r="AG1066" s="7">
        <v>348270.87066666677</v>
      </c>
    </row>
    <row r="1067" spans="2:33" ht="15" thickBot="1">
      <c r="C1067" t="s">
        <v>185</v>
      </c>
      <c r="I1067" s="54">
        <v>120680.77599999995</v>
      </c>
      <c r="K1067" s="54">
        <v>-38533.698666666634</v>
      </c>
      <c r="M1067" s="54">
        <v>-18030.979999999981</v>
      </c>
      <c r="O1067" s="54">
        <v>83956.682666666689</v>
      </c>
      <c r="Q1067" s="54">
        <v>-49634.909333333257</v>
      </c>
      <c r="T1067" t="s">
        <v>206</v>
      </c>
      <c r="Y1067" s="54">
        <v>420078</v>
      </c>
      <c r="AA1067" s="54">
        <v>420078</v>
      </c>
      <c r="AC1067" s="54">
        <v>420078</v>
      </c>
      <c r="AE1067" s="54">
        <v>420078</v>
      </c>
      <c r="AG1067" s="54">
        <v>420078</v>
      </c>
    </row>
    <row r="1068" spans="2:33" ht="15" thickTop="1"/>
    <row r="1069" spans="2:33">
      <c r="C1069" t="s">
        <v>186</v>
      </c>
      <c r="I1069" s="7">
        <v>295040.19999999995</v>
      </c>
      <c r="K1069" s="7">
        <v>151666.66666666672</v>
      </c>
      <c r="M1069" s="7">
        <v>151666.66666666669</v>
      </c>
      <c r="O1069" s="7">
        <v>295040.20000000007</v>
      </c>
      <c r="Q1069" s="7">
        <v>151666.66666666677</v>
      </c>
      <c r="T1069" t="s">
        <v>167</v>
      </c>
      <c r="Y1069" s="7">
        <v>790591.77599999995</v>
      </c>
      <c r="AA1069" s="7">
        <v>752058.07733333332</v>
      </c>
      <c r="AC1069" s="7">
        <v>734027.09733333334</v>
      </c>
      <c r="AE1069" s="7">
        <v>817983.78</v>
      </c>
      <c r="AG1069" s="7">
        <v>768348.87066666677</v>
      </c>
    </row>
    <row r="1071" spans="2:33">
      <c r="C1071" t="s">
        <v>164</v>
      </c>
      <c r="I1071" s="7">
        <v>357759.80000000005</v>
      </c>
      <c r="K1071" s="7">
        <v>542912.53333333333</v>
      </c>
      <c r="M1071" s="7">
        <v>587365.60213333345</v>
      </c>
      <c r="O1071" s="7">
        <v>491290.1340032001</v>
      </c>
      <c r="Q1071" s="7">
        <v>684988.80871273833</v>
      </c>
      <c r="S1071" s="6" t="s">
        <v>169</v>
      </c>
      <c r="Y1071" s="7">
        <v>2522724.0099999998</v>
      </c>
      <c r="AA1071" s="7">
        <v>3160321.0904333331</v>
      </c>
      <c r="AC1071" s="7">
        <v>3870352.4714890001</v>
      </c>
      <c r="AE1071" s="7">
        <v>4516877.309083336</v>
      </c>
      <c r="AG1071" s="7">
        <v>5391532.8691547625</v>
      </c>
    </row>
    <row r="1072" spans="2:33">
      <c r="S1072" s="6"/>
    </row>
    <row r="1073" spans="2:33" ht="6.75" customHeight="1">
      <c r="S1073" s="32"/>
      <c r="T1073" s="32"/>
      <c r="U1073" s="32"/>
      <c r="V1073" s="32"/>
      <c r="W1073" s="32"/>
      <c r="X1073" s="32"/>
      <c r="Y1073" s="25"/>
      <c r="Z1073" s="32"/>
      <c r="AA1073" s="25"/>
      <c r="AB1073" s="32"/>
      <c r="AC1073" s="25"/>
      <c r="AD1073" s="32"/>
      <c r="AE1073" s="25"/>
      <c r="AF1073" s="32"/>
      <c r="AG1073" s="25"/>
    </row>
    <row r="1074" spans="2:33" ht="26">
      <c r="C1074" t="s">
        <v>163</v>
      </c>
      <c r="S1074" s="23" t="s">
        <v>53</v>
      </c>
      <c r="X1074" s="5"/>
      <c r="Y1074"/>
      <c r="AA1074"/>
      <c r="AC1074"/>
      <c r="AE1074" t="s">
        <v>284</v>
      </c>
      <c r="AG1074" t="s">
        <v>303</v>
      </c>
    </row>
    <row r="1075" spans="2:33" ht="15.75" customHeight="1">
      <c r="D1075" t="s">
        <v>187</v>
      </c>
      <c r="I1075" s="7">
        <v>63816.740000000005</v>
      </c>
      <c r="K1075" s="7">
        <v>65731.242200000008</v>
      </c>
      <c r="M1075" s="7">
        <v>67703.179466000016</v>
      </c>
      <c r="O1075" s="7">
        <v>69734.274849980022</v>
      </c>
      <c r="Q1075" s="7">
        <v>71826.303095479423</v>
      </c>
      <c r="S1075" s="5"/>
    </row>
    <row r="1076" spans="2:33" ht="15" thickBot="1">
      <c r="D1076" t="s">
        <v>188</v>
      </c>
      <c r="I1076" s="7">
        <v>0</v>
      </c>
      <c r="K1076" s="7">
        <v>0</v>
      </c>
      <c r="M1076" s="7">
        <v>0</v>
      </c>
      <c r="O1076" s="7">
        <v>0</v>
      </c>
      <c r="Q1076" s="7">
        <v>0</v>
      </c>
      <c r="Y1076" s="33"/>
      <c r="Z1076" s="34"/>
      <c r="AA1076" s="33"/>
      <c r="AB1076" s="34"/>
      <c r="AC1076" s="35" t="s">
        <v>59</v>
      </c>
      <c r="AD1076" s="34"/>
      <c r="AE1076" s="33"/>
      <c r="AF1076" s="34"/>
      <c r="AG1076" s="33"/>
    </row>
    <row r="1077" spans="2:33">
      <c r="D1077" t="s">
        <v>189</v>
      </c>
      <c r="I1077" s="7">
        <v>0</v>
      </c>
      <c r="K1077" s="7">
        <v>0</v>
      </c>
      <c r="M1077" s="7">
        <v>0</v>
      </c>
      <c r="O1077" s="7">
        <v>0</v>
      </c>
      <c r="Q1077" s="7">
        <v>0</v>
      </c>
      <c r="S1077" s="22" t="s">
        <v>74</v>
      </c>
      <c r="Y1077" s="10">
        <v>43465</v>
      </c>
      <c r="Z1077" s="8"/>
      <c r="AA1077" s="10">
        <v>43830</v>
      </c>
      <c r="AB1077" s="8"/>
      <c r="AC1077" s="10">
        <v>44196</v>
      </c>
      <c r="AD1077" s="8"/>
      <c r="AE1077" s="10">
        <v>44561</v>
      </c>
      <c r="AF1077" s="8"/>
      <c r="AG1077" s="10">
        <v>44926</v>
      </c>
    </row>
    <row r="1078" spans="2:33">
      <c r="D1078" t="s">
        <v>190</v>
      </c>
      <c r="I1078" s="7">
        <v>0</v>
      </c>
      <c r="K1078" s="7">
        <v>0</v>
      </c>
      <c r="M1078" s="7">
        <v>0</v>
      </c>
      <c r="O1078" s="7">
        <v>0</v>
      </c>
      <c r="Q1078" s="7">
        <v>0</v>
      </c>
      <c r="Y1078"/>
      <c r="AA1078"/>
      <c r="AC1078"/>
      <c r="AE1078"/>
      <c r="AG1078"/>
    </row>
    <row r="1079" spans="2:33">
      <c r="D1079" t="s">
        <v>111</v>
      </c>
      <c r="I1079" s="7">
        <v>5000</v>
      </c>
      <c r="K1079" s="7">
        <v>5000</v>
      </c>
      <c r="M1079" s="7">
        <v>5000</v>
      </c>
      <c r="O1079" s="7">
        <v>5000</v>
      </c>
      <c r="Q1079" s="7">
        <v>5000</v>
      </c>
      <c r="S1079" t="s">
        <v>115</v>
      </c>
      <c r="Y1079" s="94">
        <v>0.25876790224072116</v>
      </c>
      <c r="AA1079" s="94">
        <v>0.21978121213777096</v>
      </c>
      <c r="AC1079" s="94">
        <v>0.19094701948829998</v>
      </c>
      <c r="AE1079" s="94">
        <v>0.17408715805096323</v>
      </c>
      <c r="AG1079" s="94">
        <v>0.15517951864226853</v>
      </c>
    </row>
    <row r="1080" spans="2:33" ht="15" thickBot="1">
      <c r="D1080" t="s">
        <v>191</v>
      </c>
      <c r="I1080" s="54">
        <v>0</v>
      </c>
      <c r="K1080" s="54">
        <v>0</v>
      </c>
      <c r="M1080" s="54">
        <v>0</v>
      </c>
      <c r="O1080" s="54">
        <v>0</v>
      </c>
      <c r="Q1080" s="54">
        <v>0</v>
      </c>
      <c r="S1080" t="s">
        <v>116</v>
      </c>
      <c r="Y1080" s="94">
        <v>0.25876790224072116</v>
      </c>
      <c r="AA1080" s="94">
        <v>0.21978121213777096</v>
      </c>
      <c r="AC1080" s="94">
        <v>0.19094701948829998</v>
      </c>
      <c r="AE1080" s="94">
        <v>0.17408715805096323</v>
      </c>
      <c r="AG1080" s="94">
        <v>0.15517951864226853</v>
      </c>
    </row>
    <row r="1081" spans="2:33" ht="15" thickTop="1">
      <c r="S1081" t="s">
        <v>242</v>
      </c>
      <c r="Y1081" s="94">
        <v>0.19819845453486609</v>
      </c>
      <c r="AA1081" s="94">
        <v>0.15821177206125014</v>
      </c>
      <c r="AC1081" s="94">
        <v>0.12918720030882361</v>
      </c>
      <c r="AE1081" s="94">
        <v>0.11069594451780028</v>
      </c>
      <c r="AG1081" s="94">
        <v>9.2738004596155901E-2</v>
      </c>
    </row>
    <row r="1082" spans="2:33">
      <c r="D1082" t="s">
        <v>192</v>
      </c>
      <c r="I1082" s="7">
        <v>68816.740000000005</v>
      </c>
      <c r="K1082" s="7">
        <v>70731.242200000008</v>
      </c>
      <c r="M1082" s="7">
        <v>72703.179466000016</v>
      </c>
      <c r="O1082" s="7">
        <v>74734.274849980022</v>
      </c>
      <c r="Q1082" s="7">
        <v>76826.303095479423</v>
      </c>
      <c r="S1082" t="s">
        <v>48</v>
      </c>
      <c r="Y1082" s="94">
        <v>0.11017236607019458</v>
      </c>
      <c r="AA1082" s="94">
        <v>8.7181121750021282E-2</v>
      </c>
      <c r="AC1082" s="94">
        <v>5.9052595506382789E-2</v>
      </c>
      <c r="AE1082" s="94">
        <v>5.8566778172171291E-2</v>
      </c>
      <c r="AG1082" s="94">
        <v>4.5449033775356813E-2</v>
      </c>
    </row>
    <row r="1083" spans="2:33">
      <c r="S1083" t="s">
        <v>207</v>
      </c>
      <c r="Y1083" s="97">
        <v>7465</v>
      </c>
      <c r="AA1083" s="7">
        <v>41779.20000000007</v>
      </c>
      <c r="AC1083" s="7">
        <v>44453.068800000008</v>
      </c>
      <c r="AE1083" s="7">
        <v>47298.065203200094</v>
      </c>
      <c r="AG1083" s="7">
        <v>50325.141376204905</v>
      </c>
    </row>
    <row r="1084" spans="2:33">
      <c r="C1084" t="s">
        <v>193</v>
      </c>
      <c r="I1084" s="7">
        <v>288943.06000000006</v>
      </c>
      <c r="K1084" s="7">
        <v>472181.29113333335</v>
      </c>
      <c r="M1084" s="7">
        <v>514662.42266733345</v>
      </c>
      <c r="O1084" s="7">
        <v>416555.85915322008</v>
      </c>
      <c r="Q1084" s="7">
        <v>608162.50561725895</v>
      </c>
      <c r="S1084" t="s">
        <v>118</v>
      </c>
      <c r="Y1084" s="97">
        <v>426976.00999999978</v>
      </c>
      <c r="AA1084" s="7">
        <v>637597.08043333329</v>
      </c>
      <c r="AC1084" s="7">
        <v>710031.38105566707</v>
      </c>
      <c r="AE1084" s="7">
        <v>646524.8375943359</v>
      </c>
      <c r="AG1084" s="7">
        <v>874655.56007142644</v>
      </c>
    </row>
    <row r="1085" spans="2:33">
      <c r="S1085" t="s">
        <v>119</v>
      </c>
      <c r="Y1085" s="94">
        <v>4.7837486590536694E-2</v>
      </c>
      <c r="AA1085" s="94">
        <v>-1.5274639046491113E-2</v>
      </c>
      <c r="AC1085" s="94">
        <v>-5.7054265956019146E-3</v>
      </c>
      <c r="AE1085" s="94">
        <v>2.1692257561846017E-2</v>
      </c>
      <c r="AG1085" s="94">
        <v>-1.0988766339417411E-2</v>
      </c>
    </row>
    <row r="1086" spans="2:33">
      <c r="B1086" s="6" t="s">
        <v>168</v>
      </c>
      <c r="S1086" t="s">
        <v>280</v>
      </c>
      <c r="Y1086" s="94">
        <v>5.471583472977689E-2</v>
      </c>
      <c r="AA1086" s="94">
        <v>5.2341450304126763E-2</v>
      </c>
      <c r="AC1086" s="94">
        <v>5.0478337522879689E-2</v>
      </c>
      <c r="AE1086" s="94">
        <v>5.0913266556666122E-2</v>
      </c>
      <c r="AG1086" s="94">
        <v>4.9428068217628303E-2</v>
      </c>
    </row>
    <row r="1087" spans="2:33">
      <c r="S1087" t="s">
        <v>124</v>
      </c>
      <c r="Y1087" s="94">
        <v>0</v>
      </c>
      <c r="AA1087" s="94">
        <v>0</v>
      </c>
      <c r="AC1087" s="94">
        <v>0</v>
      </c>
      <c r="AE1087" s="94">
        <v>0</v>
      </c>
      <c r="AG1087" s="94">
        <v>0</v>
      </c>
    </row>
    <row r="1088" spans="2:33">
      <c r="C1088" t="s">
        <v>279</v>
      </c>
      <c r="I1088" s="7">
        <v>138032.95000000001</v>
      </c>
      <c r="K1088" s="7">
        <v>165415.7893</v>
      </c>
      <c r="M1088" s="7">
        <v>195368.95838833333</v>
      </c>
      <c r="O1088" s="7">
        <v>229968.97844111669</v>
      </c>
      <c r="Q1088" s="7">
        <v>266493.05445416685</v>
      </c>
      <c r="S1088" t="s">
        <v>127</v>
      </c>
      <c r="Y1088" s="94">
        <v>4.7837486590536694E-2</v>
      </c>
      <c r="AA1088" s="94">
        <v>-1.5274639046491113E-2</v>
      </c>
      <c r="AC1088" s="94">
        <v>-5.7054265956019146E-3</v>
      </c>
      <c r="AE1088" s="94">
        <v>2.1692257561846017E-2</v>
      </c>
      <c r="AG1088" s="94">
        <v>-1.0988766339417411E-2</v>
      </c>
    </row>
    <row r="1089" spans="2:33" ht="15" thickBot="1">
      <c r="C1089" t="s">
        <v>194</v>
      </c>
      <c r="I1089" s="54">
        <v>0</v>
      </c>
      <c r="K1089" s="54">
        <v>0</v>
      </c>
      <c r="M1089" s="54">
        <v>0</v>
      </c>
      <c r="O1089" s="54">
        <v>0</v>
      </c>
      <c r="Q1089" s="54">
        <v>0</v>
      </c>
      <c r="S1089" t="s">
        <v>128</v>
      </c>
      <c r="Y1089" s="94">
        <v>0.49955066700356421</v>
      </c>
      <c r="AA1089" s="94">
        <v>0.34471682895129374</v>
      </c>
      <c r="AC1089" s="94">
        <v>0.2554319763472831</v>
      </c>
      <c r="AE1089" s="94">
        <v>0.22695601815295768</v>
      </c>
      <c r="AG1089" s="94">
        <v>0.17347461688122398</v>
      </c>
    </row>
    <row r="1090" spans="2:33" ht="15" thickTop="1">
      <c r="S1090" t="s">
        <v>73</v>
      </c>
      <c r="Y1090" s="94">
        <v>0.45196109068627444</v>
      </c>
      <c r="AA1090" s="94">
        <v>0.21835762813897494</v>
      </c>
      <c r="AC1090" s="94">
        <v>0.20522333471708168</v>
      </c>
      <c r="AE1090" s="94">
        <v>0.37521152019909143</v>
      </c>
      <c r="AG1090" s="94">
        <v>0.18127732517125911</v>
      </c>
    </row>
    <row r="1091" spans="2:33">
      <c r="C1091" t="s">
        <v>195</v>
      </c>
      <c r="I1091" s="7">
        <v>138032.95000000001</v>
      </c>
      <c r="K1091" s="7">
        <v>165415.7893</v>
      </c>
      <c r="M1091" s="7">
        <v>195368.95838833333</v>
      </c>
      <c r="O1091" s="7">
        <v>229968.97844111669</v>
      </c>
      <c r="Q1091" s="7">
        <v>266493.05445416685</v>
      </c>
      <c r="S1091" t="s">
        <v>132</v>
      </c>
      <c r="Y1091" s="94">
        <v>0.10541780024509805</v>
      </c>
      <c r="AA1091" s="94">
        <v>0.1018332282337277</v>
      </c>
      <c r="AC1091" s="94">
        <v>9.8376190777232822E-2</v>
      </c>
      <c r="AE1091" s="94">
        <v>9.5041831172286775E-2</v>
      </c>
      <c r="AG1091" s="94">
        <v>9.1825494909526961E-2</v>
      </c>
    </row>
    <row r="1092" spans="2:33">
      <c r="S1092" t="s">
        <v>134</v>
      </c>
      <c r="Y1092" s="94">
        <v>0</v>
      </c>
      <c r="AA1092" s="94">
        <v>0</v>
      </c>
      <c r="AC1092" s="94">
        <v>0</v>
      </c>
      <c r="AE1092" s="94">
        <v>0</v>
      </c>
      <c r="AG1092" s="94">
        <v>0</v>
      </c>
    </row>
    <row r="1093" spans="2:33">
      <c r="B1093" s="6" t="s">
        <v>112</v>
      </c>
      <c r="I1093" s="7">
        <v>426976.01000000007</v>
      </c>
      <c r="K1093" s="7">
        <v>637597.08043333329</v>
      </c>
      <c r="M1093" s="7">
        <v>710031.38105566683</v>
      </c>
      <c r="O1093" s="7">
        <v>646524.83759433683</v>
      </c>
      <c r="Q1093" s="7">
        <v>874655.56007142575</v>
      </c>
      <c r="S1093" t="s">
        <v>135</v>
      </c>
      <c r="Y1093" s="94">
        <v>0.66279669117647055</v>
      </c>
      <c r="AA1093" s="94">
        <v>0.42202408460643032</v>
      </c>
      <c r="AC1093" s="94">
        <v>0.40197571627154732</v>
      </c>
      <c r="AE1093" s="94">
        <v>0.56529518254366495</v>
      </c>
      <c r="AG1093" s="94">
        <v>0.36492831499031303</v>
      </c>
    </row>
    <row r="1094" spans="2:33">
      <c r="B1094" s="6"/>
      <c r="S1094" t="s">
        <v>47</v>
      </c>
      <c r="Y1094" s="94">
        <v>0.21144753370098041</v>
      </c>
      <c r="AA1094" s="94">
        <v>0.23815252357110606</v>
      </c>
      <c r="AC1094" s="94">
        <v>0.26435781850982326</v>
      </c>
      <c r="AE1094" s="94">
        <v>0.29245848531665675</v>
      </c>
      <c r="AG1094" s="94">
        <v>0.31852185552639578</v>
      </c>
    </row>
    <row r="1095" spans="2:33">
      <c r="B1095" s="6" t="s">
        <v>196</v>
      </c>
      <c r="I1095" s="7">
        <v>0</v>
      </c>
      <c r="K1095" s="7">
        <v>0</v>
      </c>
      <c r="M1095" s="7">
        <v>0</v>
      </c>
      <c r="O1095" s="7">
        <v>0</v>
      </c>
      <c r="Q1095" s="7">
        <v>0</v>
      </c>
      <c r="S1095" t="s">
        <v>114</v>
      </c>
      <c r="Y1095" s="94">
        <v>0.45134915747549015</v>
      </c>
      <c r="AA1095" s="94">
        <v>0.18387156103532426</v>
      </c>
      <c r="AC1095" s="94">
        <v>0.13761789776172406</v>
      </c>
      <c r="AE1095" s="94">
        <v>0.27283669722700821</v>
      </c>
      <c r="AG1095" s="94">
        <v>4.6406459463917249E-2</v>
      </c>
    </row>
    <row r="1096" spans="2:33">
      <c r="B1096" s="6"/>
      <c r="S1096" t="s">
        <v>38</v>
      </c>
      <c r="Y1096" s="94">
        <v>4.1909312575495345</v>
      </c>
      <c r="AA1096" s="94">
        <v>5.2022301012167569</v>
      </c>
      <c r="AC1096" s="94">
        <v>6.2727651139170577</v>
      </c>
      <c r="AE1096" s="94">
        <v>6.5219643952882977</v>
      </c>
      <c r="AG1096" s="94">
        <v>8.0170375398310103</v>
      </c>
    </row>
    <row r="1097" spans="2:33">
      <c r="B1097" s="6" t="s">
        <v>113</v>
      </c>
      <c r="I1097" s="7">
        <v>0</v>
      </c>
      <c r="K1097" s="7">
        <v>0</v>
      </c>
      <c r="M1097" s="7">
        <v>0</v>
      </c>
      <c r="O1097" s="7">
        <v>0</v>
      </c>
      <c r="Q1097" s="7">
        <v>0</v>
      </c>
      <c r="S1097" t="s">
        <v>39</v>
      </c>
      <c r="Y1097" s="7">
        <v>409623.83600000001</v>
      </c>
      <c r="AA1097" s="7">
        <v>433647.59246666671</v>
      </c>
      <c r="AC1097" s="7">
        <v>496631.44266733347</v>
      </c>
      <c r="AE1097" s="7">
        <v>500512.54181988677</v>
      </c>
      <c r="AG1097" s="7">
        <v>558527.5962839257</v>
      </c>
    </row>
    <row r="1098" spans="2:33">
      <c r="B1098" s="6"/>
      <c r="S1098" t="s">
        <v>44</v>
      </c>
      <c r="Y1098" s="7">
        <v>409623.83600000001</v>
      </c>
      <c r="AA1098" s="7">
        <v>433647.59246666671</v>
      </c>
      <c r="AC1098" s="7">
        <v>496631.44266733347</v>
      </c>
      <c r="AE1098" s="7">
        <v>500512.54181988677</v>
      </c>
      <c r="AG1098" s="7">
        <v>558527.5962839257</v>
      </c>
    </row>
    <row r="1099" spans="2:33">
      <c r="B1099" s="6" t="s">
        <v>162</v>
      </c>
      <c r="I1099" s="7">
        <v>426976.01000000007</v>
      </c>
      <c r="K1099" s="7">
        <v>637597.08043333329</v>
      </c>
      <c r="M1099" s="7">
        <v>710031.38105566683</v>
      </c>
      <c r="O1099" s="7">
        <v>646524.83759433683</v>
      </c>
      <c r="Q1099" s="7">
        <v>874655.56007142575</v>
      </c>
      <c r="S1099" t="s">
        <v>51</v>
      </c>
      <c r="Y1099" s="94">
        <v>0.65406864276960797</v>
      </c>
      <c r="AA1099" s="94">
        <v>0.91796166719840333</v>
      </c>
      <c r="AC1099" s="94">
        <v>0.96075829301550897</v>
      </c>
      <c r="AE1099" s="94">
        <v>0.82220513394527861</v>
      </c>
      <c r="AG1099" s="94">
        <v>1.0454190354456097</v>
      </c>
    </row>
    <row r="1101" spans="2:33" ht="6.75" customHeight="1">
      <c r="B1101" s="32"/>
      <c r="C1101" s="32"/>
      <c r="D1101" s="32"/>
      <c r="E1101" s="32"/>
      <c r="F1101" s="32"/>
      <c r="G1101" s="32"/>
      <c r="H1101" s="32"/>
      <c r="I1101" s="25"/>
      <c r="J1101" s="32"/>
      <c r="K1101" s="25"/>
      <c r="L1101" s="32"/>
      <c r="M1101" s="25"/>
      <c r="N1101" s="32"/>
      <c r="O1101" s="25"/>
      <c r="P1101" s="32"/>
      <c r="Q1101" s="25"/>
      <c r="S1101" s="32"/>
      <c r="T1101" s="32"/>
      <c r="U1101" s="32"/>
      <c r="V1101" s="32"/>
      <c r="W1101" s="32"/>
      <c r="X1101" s="32"/>
      <c r="Y1101" s="25"/>
      <c r="Z1101" s="32"/>
      <c r="AA1101" s="25"/>
      <c r="AB1101" s="32"/>
      <c r="AC1101" s="25"/>
      <c r="AD1101" s="32"/>
      <c r="AE1101" s="25"/>
      <c r="AF1101" s="32"/>
      <c r="AG1101" s="25"/>
    </row>
  </sheetData>
  <phoneticPr fontId="36" type="noConversion"/>
  <pageMargins left="0.7" right="0.7" top="0.75" bottom="0.75" header="0.3" footer="0.3"/>
  <pageSetup scale="49" fitToHeight="20" orientation="landscape" horizontalDpi="4294967292" verticalDpi="4294967292" r:id="rId1"/>
  <rowBreaks count="19" manualBreakCount="19">
    <brk id="56" max="16383" man="1"/>
    <brk id="111" max="16383" man="1"/>
    <brk id="166" max="16383" man="1"/>
    <brk id="221" max="16383" man="1"/>
    <brk id="276" max="16383" man="1"/>
    <brk id="331" max="16383" man="1"/>
    <brk id="386" max="16383" man="1"/>
    <brk id="441" max="16383" man="1"/>
    <brk id="496" max="16383" man="1"/>
    <brk id="551" max="16383" man="1"/>
    <brk id="606" max="16383" man="1"/>
    <brk id="661" max="16383" man="1"/>
    <brk id="716" max="16383" man="1"/>
    <brk id="771" max="16383" man="1"/>
    <brk id="826" max="16383" man="1"/>
    <brk id="881" max="16383" man="1"/>
    <brk id="936" max="16383" man="1"/>
    <brk id="991" max="16383" man="1"/>
    <brk id="1046" max="16383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B4:P886"/>
  <sheetViews>
    <sheetView workbookViewId="0">
      <selection activeCell="Q26" sqref="Q26"/>
    </sheetView>
  </sheetViews>
  <sheetFormatPr defaultColWidth="8.81640625" defaultRowHeight="14.5"/>
  <cols>
    <col min="1" max="1" width="11" bestFit="1" customWidth="1"/>
    <col min="2" max="6" width="1.81640625" customWidth="1"/>
    <col min="7" max="7" width="37.36328125" customWidth="1"/>
    <col min="8" max="8" width="12.81640625" style="7" bestFit="1" customWidth="1"/>
    <col min="9" max="9" width="1.81640625" customWidth="1"/>
    <col min="10" max="10" width="12.81640625" style="7" bestFit="1" customWidth="1"/>
    <col min="11" max="11" width="1.81640625" customWidth="1"/>
    <col min="12" max="12" width="12.81640625" style="7" bestFit="1" customWidth="1"/>
    <col min="13" max="13" width="1.81640625" customWidth="1"/>
    <col min="14" max="14" width="12.81640625" style="7" bestFit="1" customWidth="1"/>
    <col min="15" max="15" width="1.81640625" customWidth="1"/>
    <col min="16" max="16" width="12.81640625" style="7" bestFit="1" customWidth="1"/>
  </cols>
  <sheetData>
    <row r="4" spans="2:16">
      <c r="B4" s="6"/>
    </row>
    <row r="5" spans="2:16" ht="6.75" customHeight="1">
      <c r="B5" s="32"/>
      <c r="C5" s="32"/>
      <c r="D5" s="32"/>
      <c r="E5" s="32"/>
      <c r="F5" s="32"/>
      <c r="G5" s="32"/>
      <c r="H5" s="25"/>
      <c r="I5" s="32"/>
      <c r="J5" s="25"/>
      <c r="K5" s="32"/>
      <c r="L5" s="25"/>
      <c r="M5" s="32"/>
      <c r="N5" s="25"/>
      <c r="O5" s="32"/>
      <c r="P5" s="25"/>
    </row>
    <row r="6" spans="2:16" ht="26">
      <c r="B6" s="23" t="s">
        <v>53</v>
      </c>
      <c r="G6" s="5"/>
      <c r="H6"/>
      <c r="J6"/>
      <c r="L6"/>
      <c r="N6" t="s">
        <v>284</v>
      </c>
      <c r="P6" t="s">
        <v>304</v>
      </c>
    </row>
    <row r="7" spans="2:16" ht="15.75" customHeight="1">
      <c r="B7" s="5"/>
    </row>
    <row r="8" spans="2:16" ht="15" thickBot="1">
      <c r="H8" s="33"/>
      <c r="I8" s="34"/>
      <c r="J8" s="33"/>
      <c r="K8" s="34"/>
      <c r="L8" s="35" t="s">
        <v>59</v>
      </c>
      <c r="M8" s="34"/>
      <c r="N8" s="33"/>
      <c r="O8" s="34"/>
      <c r="P8" s="33"/>
    </row>
    <row r="9" spans="2:16">
      <c r="B9" s="22" t="s">
        <v>74</v>
      </c>
      <c r="H9" s="10">
        <v>43465</v>
      </c>
      <c r="I9" s="8"/>
      <c r="J9" s="10">
        <v>43830</v>
      </c>
      <c r="K9" s="8"/>
      <c r="L9" s="10">
        <v>44196</v>
      </c>
      <c r="M9" s="8"/>
      <c r="N9" s="10">
        <v>44561</v>
      </c>
      <c r="O9" s="8"/>
      <c r="P9" s="10">
        <v>44926</v>
      </c>
    </row>
    <row r="10" spans="2:16">
      <c r="H10"/>
      <c r="J10"/>
      <c r="L10"/>
      <c r="N10"/>
      <c r="P10"/>
    </row>
    <row r="11" spans="2:16">
      <c r="B11" t="s">
        <v>115</v>
      </c>
      <c r="H11" s="94">
        <v>0.23639918185748585</v>
      </c>
      <c r="J11" s="94">
        <v>0.19855441424048653</v>
      </c>
      <c r="L11" s="94">
        <v>0.17138235508826832</v>
      </c>
      <c r="N11" s="94">
        <v>0.15089696187267521</v>
      </c>
      <c r="P11" s="94">
        <v>0.13489429032170092</v>
      </c>
    </row>
    <row r="12" spans="2:16">
      <c r="B12" t="s">
        <v>116</v>
      </c>
      <c r="H12" s="94">
        <v>0.23639918185748585</v>
      </c>
      <c r="J12" s="94">
        <v>0.19855441424048653</v>
      </c>
      <c r="L12" s="94">
        <v>0.17138235508826832</v>
      </c>
      <c r="N12" s="94">
        <v>0.15089696187267521</v>
      </c>
      <c r="P12" s="94">
        <v>0.13489429032170092</v>
      </c>
    </row>
    <row r="13" spans="2:16">
      <c r="B13" t="s">
        <v>242</v>
      </c>
      <c r="H13" s="94">
        <v>9.0532774914784727E-3</v>
      </c>
      <c r="J13" s="94">
        <v>7.1465721346279341E-3</v>
      </c>
      <c r="L13" s="94">
        <v>5.7975261136617743E-3</v>
      </c>
      <c r="N13" s="94">
        <v>4.7975054295711899E-3</v>
      </c>
      <c r="P13" s="94">
        <v>4.0307598017131629E-3</v>
      </c>
    </row>
    <row r="14" spans="2:16">
      <c r="B14" t="s">
        <v>48</v>
      </c>
      <c r="H14" s="94">
        <v>5.9055877093398448E-2</v>
      </c>
      <c r="J14" s="94">
        <v>4.1466208838391645E-2</v>
      </c>
      <c r="L14" s="94">
        <v>2.4982102475532644E-2</v>
      </c>
      <c r="N14" s="94">
        <v>1.7803095359442803E-2</v>
      </c>
      <c r="P14" s="94">
        <v>1.3613042671120294E-2</v>
      </c>
    </row>
    <row r="15" spans="2:16">
      <c r="B15" t="s">
        <v>207</v>
      </c>
      <c r="H15" s="97">
        <v>7465</v>
      </c>
      <c r="J15" s="7">
        <v>41779.20000000007</v>
      </c>
      <c r="L15" s="7">
        <v>44453.068800000008</v>
      </c>
      <c r="N15" s="7">
        <v>47298.065203200094</v>
      </c>
      <c r="P15" s="7">
        <v>50325.141376204905</v>
      </c>
    </row>
    <row r="16" spans="2:16">
      <c r="B16" t="s">
        <v>118</v>
      </c>
      <c r="H16" s="97">
        <v>665682.87666666694</v>
      </c>
      <c r="J16" s="7">
        <v>736749.72363333311</v>
      </c>
      <c r="L16" s="7">
        <v>814003.51234899927</v>
      </c>
      <c r="N16" s="7">
        <v>898857.41028567031</v>
      </c>
      <c r="P16" s="7">
        <v>991263.06226399262</v>
      </c>
    </row>
    <row r="17" spans="2:16">
      <c r="B17" t="s">
        <v>119</v>
      </c>
      <c r="H17" s="94">
        <v>-1.5079100362489259E-2</v>
      </c>
      <c r="J17" s="94">
        <v>-1.4954775927561607E-2</v>
      </c>
      <c r="L17" s="94">
        <v>-6.3647228499553723E-3</v>
      </c>
      <c r="N17" s="94">
        <v>-3.5728143629444775E-3</v>
      </c>
      <c r="P17" s="94">
        <v>-2.2749725970309244E-3</v>
      </c>
    </row>
    <row r="18" spans="2:16">
      <c r="B18" t="s">
        <v>280</v>
      </c>
      <c r="H18" s="94">
        <v>4.9986023972694936E-2</v>
      </c>
      <c r="J18" s="94">
        <v>4.837803375621981E-2</v>
      </c>
      <c r="L18" s="94">
        <v>4.7309611792760442E-2</v>
      </c>
      <c r="N18" s="94">
        <v>4.6745872853571055E-2</v>
      </c>
      <c r="P18" s="94">
        <v>4.639682223929073E-2</v>
      </c>
    </row>
    <row r="19" spans="2:16">
      <c r="B19" t="s">
        <v>124</v>
      </c>
      <c r="H19" s="94">
        <v>0</v>
      </c>
      <c r="J19" s="94">
        <v>0</v>
      </c>
      <c r="L19" s="94">
        <v>0</v>
      </c>
      <c r="N19" s="94">
        <v>0</v>
      </c>
      <c r="P19" s="94">
        <v>0</v>
      </c>
    </row>
    <row r="20" spans="2:16">
      <c r="B20" t="s">
        <v>127</v>
      </c>
      <c r="H20" s="94">
        <v>-1.5079100362489259E-2</v>
      </c>
      <c r="J20" s="94">
        <v>-1.4954775927561607E-2</v>
      </c>
      <c r="L20" s="94">
        <v>-6.3647228499553723E-3</v>
      </c>
      <c r="N20" s="94">
        <v>-3.5728143629444775E-3</v>
      </c>
      <c r="P20" s="94">
        <v>-2.2749725970309244E-3</v>
      </c>
    </row>
    <row r="21" spans="2:16">
      <c r="B21" t="s">
        <v>128</v>
      </c>
      <c r="H21" s="94">
        <v>0.37870653564239143</v>
      </c>
      <c r="J21" s="94">
        <v>0.24930482343535917</v>
      </c>
      <c r="L21" s="94">
        <v>0.17949033890945443</v>
      </c>
      <c r="N21" s="94">
        <v>0.13631582416011628</v>
      </c>
      <c r="P21" s="94">
        <v>0.10729554822139115</v>
      </c>
    </row>
    <row r="22" spans="2:16">
      <c r="B22" t="s">
        <v>73</v>
      </c>
      <c r="H22" s="94">
        <v>8.6294934640522819E-2</v>
      </c>
      <c r="J22" s="94">
        <v>8.110426188019064E-2</v>
      </c>
      <c r="L22" s="94">
        <v>7.6225810037773178E-2</v>
      </c>
      <c r="N22" s="94">
        <v>7.164079890768156E-2</v>
      </c>
      <c r="P22" s="94">
        <v>6.7331577920753338E-2</v>
      </c>
    </row>
    <row r="23" spans="2:16">
      <c r="B23" t="s">
        <v>132</v>
      </c>
      <c r="H23" s="94">
        <v>0.10541780024509805</v>
      </c>
      <c r="J23" s="94">
        <v>0.1018332282337277</v>
      </c>
      <c r="L23" s="94">
        <v>9.8376190777232822E-2</v>
      </c>
      <c r="N23" s="94">
        <v>9.5041831172286775E-2</v>
      </c>
      <c r="P23" s="94">
        <v>9.1825494909526961E-2</v>
      </c>
    </row>
    <row r="24" spans="2:16">
      <c r="B24" t="s">
        <v>134</v>
      </c>
      <c r="H24" s="94">
        <v>0</v>
      </c>
      <c r="J24" s="94">
        <v>0</v>
      </c>
      <c r="L24" s="94">
        <v>0</v>
      </c>
      <c r="N24" s="94">
        <v>0</v>
      </c>
      <c r="P24" s="94">
        <v>0</v>
      </c>
    </row>
    <row r="25" spans="2:16">
      <c r="B25" t="s">
        <v>135</v>
      </c>
      <c r="H25" s="94">
        <v>0.29713053513071891</v>
      </c>
      <c r="J25" s="94">
        <v>0.28477071834764606</v>
      </c>
      <c r="L25" s="94">
        <v>0.27297819159223879</v>
      </c>
      <c r="N25" s="94">
        <v>0.26172446125225513</v>
      </c>
      <c r="P25" s="94">
        <v>0.25098256773980726</v>
      </c>
    </row>
    <row r="26" spans="2:16">
      <c r="B26" t="s">
        <v>47</v>
      </c>
      <c r="H26" s="94">
        <v>0.21144753370098041</v>
      </c>
      <c r="J26" s="94">
        <v>0.24365126275976398</v>
      </c>
      <c r="L26" s="94">
        <v>0.27604715647882316</v>
      </c>
      <c r="N26" s="94">
        <v>0.30978670659396429</v>
      </c>
      <c r="P26" s="94">
        <v>0.34394948910470463</v>
      </c>
    </row>
    <row r="27" spans="2:16">
      <c r="B27" t="s">
        <v>114</v>
      </c>
      <c r="H27" s="94">
        <v>8.5683001429738503E-2</v>
      </c>
      <c r="J27" s="94">
        <v>4.1119455587882076E-2</v>
      </c>
      <c r="L27" s="94">
        <v>-3.0689648865843688E-3</v>
      </c>
      <c r="N27" s="94">
        <v>-4.8062245341709164E-2</v>
      </c>
      <c r="P27" s="94">
        <v>-9.296692136489737E-2</v>
      </c>
    </row>
    <row r="28" spans="2:16">
      <c r="B28" t="s">
        <v>38</v>
      </c>
      <c r="H28" s="94">
        <v>5.3952854864162356</v>
      </c>
      <c r="J28" s="94">
        <v>6.9596804313904412</v>
      </c>
      <c r="L28" s="94">
        <v>8.6361094106154486</v>
      </c>
      <c r="N28" s="94">
        <v>10.486644093535206</v>
      </c>
      <c r="P28" s="94">
        <v>12.540288492793623</v>
      </c>
    </row>
    <row r="29" spans="2:16">
      <c r="B29" t="s">
        <v>39</v>
      </c>
      <c r="H29" s="7">
        <v>486010.03333333333</v>
      </c>
      <c r="J29" s="7">
        <v>526218.04446666676</v>
      </c>
      <c r="L29" s="7">
        <v>587730.80600066669</v>
      </c>
      <c r="N29" s="7">
        <v>639856.09248655348</v>
      </c>
      <c r="P29" s="7">
        <v>691640.86228392564</v>
      </c>
    </row>
    <row r="30" spans="2:16">
      <c r="B30" t="s">
        <v>44</v>
      </c>
      <c r="H30" s="7">
        <v>486010.03333333333</v>
      </c>
      <c r="J30" s="7">
        <v>526218.04446666676</v>
      </c>
      <c r="L30" s="7">
        <v>587730.80600066669</v>
      </c>
      <c r="N30" s="7">
        <v>639856.09248655348</v>
      </c>
      <c r="P30" s="7">
        <v>691640.86228392564</v>
      </c>
    </row>
    <row r="31" spans="2:16">
      <c r="B31" t="s">
        <v>51</v>
      </c>
      <c r="H31" s="94">
        <v>1.0197347988153596</v>
      </c>
      <c r="J31" s="94">
        <v>1.0607137726458455</v>
      </c>
      <c r="L31" s="94">
        <v>1.101445155663817</v>
      </c>
      <c r="N31" s="94">
        <v>1.1431040765139959</v>
      </c>
      <c r="P31" s="94">
        <v>1.1847924162744243</v>
      </c>
    </row>
    <row r="33" spans="2:16" ht="6.75" customHeight="1">
      <c r="B33" s="32"/>
      <c r="C33" s="32"/>
      <c r="D33" s="32"/>
      <c r="E33" s="32"/>
      <c r="F33" s="32"/>
      <c r="G33" s="32"/>
      <c r="H33" s="25"/>
      <c r="I33" s="32"/>
      <c r="J33" s="25"/>
      <c r="K33" s="32"/>
      <c r="L33" s="25"/>
      <c r="M33" s="32"/>
      <c r="N33" s="25"/>
      <c r="O33" s="32"/>
      <c r="P33" s="25"/>
    </row>
    <row r="35" spans="2:16">
      <c r="B35" s="6"/>
    </row>
    <row r="36" spans="2:16" ht="6.75" customHeight="1">
      <c r="B36" s="32"/>
      <c r="C36" s="32"/>
      <c r="D36" s="32"/>
      <c r="E36" s="32"/>
      <c r="F36" s="32"/>
      <c r="G36" s="32"/>
      <c r="H36" s="25"/>
      <c r="I36" s="32"/>
      <c r="J36" s="25"/>
      <c r="K36" s="32"/>
      <c r="L36" s="25"/>
      <c r="M36" s="32"/>
      <c r="N36" s="25"/>
      <c r="O36" s="32"/>
      <c r="P36" s="25"/>
    </row>
    <row r="37" spans="2:16" ht="26">
      <c r="B37" s="23" t="s">
        <v>53</v>
      </c>
      <c r="G37" s="5"/>
      <c r="H37"/>
      <c r="J37"/>
      <c r="L37"/>
      <c r="N37" t="s">
        <v>284</v>
      </c>
      <c r="P37" t="s">
        <v>285</v>
      </c>
    </row>
    <row r="38" spans="2:16" ht="15.75" customHeight="1">
      <c r="B38" s="5"/>
    </row>
    <row r="39" spans="2:16" ht="15" thickBot="1">
      <c r="H39" s="33"/>
      <c r="I39" s="34"/>
      <c r="J39" s="33"/>
      <c r="K39" s="34"/>
      <c r="L39" s="35" t="s">
        <v>59</v>
      </c>
      <c r="M39" s="34"/>
      <c r="N39" s="33"/>
      <c r="O39" s="34"/>
      <c r="P39" s="33"/>
    </row>
    <row r="40" spans="2:16">
      <c r="B40" s="22" t="s">
        <v>74</v>
      </c>
      <c r="H40" s="10">
        <v>43465</v>
      </c>
      <c r="I40" s="8"/>
      <c r="J40" s="10">
        <v>43830</v>
      </c>
      <c r="K40" s="8"/>
      <c r="L40" s="10">
        <v>44196</v>
      </c>
      <c r="M40" s="8"/>
      <c r="N40" s="10">
        <v>44561</v>
      </c>
      <c r="O40" s="8"/>
      <c r="P40" s="10">
        <v>44926</v>
      </c>
    </row>
    <row r="41" spans="2:16">
      <c r="H41"/>
      <c r="J41"/>
      <c r="L41"/>
      <c r="N41"/>
      <c r="P41"/>
    </row>
    <row r="42" spans="2:16">
      <c r="B42" t="s">
        <v>115</v>
      </c>
      <c r="H42" s="94">
        <v>0.2367517050970471</v>
      </c>
      <c r="J42" s="94">
        <v>0.19902602856905868</v>
      </c>
      <c r="L42" s="94">
        <v>0.17188417076014523</v>
      </c>
      <c r="N42" s="94">
        <v>0.15139227306073552</v>
      </c>
      <c r="P42" s="94">
        <v>0.13536782781316323</v>
      </c>
    </row>
    <row r="43" spans="2:16">
      <c r="B43" t="s">
        <v>116</v>
      </c>
      <c r="H43" s="94">
        <v>0.2367517050970471</v>
      </c>
      <c r="J43" s="94">
        <v>0.19902602856905868</v>
      </c>
      <c r="L43" s="94">
        <v>0.17188417076014523</v>
      </c>
      <c r="N43" s="94">
        <v>0.15139227306073552</v>
      </c>
      <c r="P43" s="94">
        <v>0.13536782781316323</v>
      </c>
    </row>
    <row r="44" spans="2:16">
      <c r="B44" t="s">
        <v>242</v>
      </c>
      <c r="H44" s="94">
        <v>9.0667779219151014E-3</v>
      </c>
      <c r="J44" s="94">
        <v>7.163546956526292E-3</v>
      </c>
      <c r="L44" s="94">
        <v>5.814501545353401E-3</v>
      </c>
      <c r="N44" s="94">
        <v>4.8132529839590103E-3</v>
      </c>
      <c r="P44" s="94">
        <v>4.0449095176176572E-3</v>
      </c>
    </row>
    <row r="45" spans="2:16">
      <c r="B45" t="s">
        <v>48</v>
      </c>
      <c r="H45" s="94">
        <v>5.9896493689430647E-2</v>
      </c>
      <c r="J45" s="94">
        <v>4.2547174988736919E-2</v>
      </c>
      <c r="L45" s="94">
        <v>2.5993617256189139E-2</v>
      </c>
      <c r="N45" s="94">
        <v>1.8699745412193845E-2</v>
      </c>
      <c r="P45" s="94">
        <v>1.439479744191215E-2</v>
      </c>
    </row>
    <row r="46" spans="2:16">
      <c r="B46" t="s">
        <v>207</v>
      </c>
      <c r="H46" s="97">
        <v>7465</v>
      </c>
      <c r="J46" s="7">
        <v>41779.20000000007</v>
      </c>
      <c r="L46" s="7">
        <v>44453.068800000008</v>
      </c>
      <c r="N46" s="7">
        <v>47298.065203200094</v>
      </c>
      <c r="P46" s="7">
        <v>50325.141376204905</v>
      </c>
    </row>
    <row r="47" spans="2:16">
      <c r="B47" t="s">
        <v>118</v>
      </c>
      <c r="H47" s="97">
        <v>661571.10666666646</v>
      </c>
      <c r="J47" s="7">
        <v>732572.16531333374</v>
      </c>
      <c r="L47" s="7">
        <v>809703.42328300001</v>
      </c>
      <c r="N47" s="7">
        <v>894397.82566136867</v>
      </c>
      <c r="P47" s="7">
        <v>986615.44845347945</v>
      </c>
    </row>
    <row r="48" spans="2:16">
      <c r="B48" t="s">
        <v>119</v>
      </c>
      <c r="H48" s="94">
        <v>-1.4087556873419647E-2</v>
      </c>
      <c r="J48" s="94">
        <v>-1.4350764300123348E-2</v>
      </c>
      <c r="L48" s="94">
        <v>-6.0617281317184935E-3</v>
      </c>
      <c r="N48" s="94">
        <v>-3.420702060484262E-3</v>
      </c>
      <c r="P48" s="94">
        <v>-2.2032761157365025E-3</v>
      </c>
    </row>
    <row r="49" spans="2:16">
      <c r="B49" t="s">
        <v>280</v>
      </c>
      <c r="H49" s="94">
        <v>5.0060564142272446E-2</v>
      </c>
      <c r="J49" s="94">
        <v>4.8474092074131572E-2</v>
      </c>
      <c r="L49" s="94">
        <v>4.7404337322047518E-2</v>
      </c>
      <c r="N49" s="94">
        <v>4.6832348884128343E-2</v>
      </c>
      <c r="P49" s="94">
        <v>4.6472997628386775E-2</v>
      </c>
    </row>
    <row r="50" spans="2:16">
      <c r="B50" t="s">
        <v>124</v>
      </c>
      <c r="H50" s="94">
        <v>0</v>
      </c>
      <c r="J50" s="94">
        <v>0</v>
      </c>
      <c r="L50" s="94">
        <v>0</v>
      </c>
      <c r="N50" s="94">
        <v>0</v>
      </c>
      <c r="P50" s="94">
        <v>0</v>
      </c>
    </row>
    <row r="51" spans="2:16">
      <c r="B51" t="s">
        <v>127</v>
      </c>
      <c r="H51" s="94">
        <v>-1.4087556873419647E-2</v>
      </c>
      <c r="J51" s="94">
        <v>-1.4350764300123348E-2</v>
      </c>
      <c r="L51" s="94">
        <v>-6.0617281317184935E-3</v>
      </c>
      <c r="N51" s="94">
        <v>-3.420702060484262E-3</v>
      </c>
      <c r="P51" s="94">
        <v>-2.2032761157365025E-3</v>
      </c>
    </row>
    <row r="52" spans="2:16">
      <c r="B52" t="s">
        <v>128</v>
      </c>
      <c r="H52" s="94">
        <v>0.38069383141306551</v>
      </c>
      <c r="J52" s="94">
        <v>0.25162837532014481</v>
      </c>
      <c r="L52" s="94">
        <v>0.18168250638442465</v>
      </c>
      <c r="N52" s="94">
        <v>0.13825490487983746</v>
      </c>
      <c r="P52" s="94">
        <v>0.1089670695577271</v>
      </c>
    </row>
    <row r="53" spans="2:16">
      <c r="B53" t="s">
        <v>73</v>
      </c>
      <c r="H53" s="94">
        <v>9.2593601919934668E-2</v>
      </c>
      <c r="J53" s="94">
        <v>8.7024061954825774E-2</v>
      </c>
      <c r="L53" s="94">
        <v>8.1789531912430241E-2</v>
      </c>
      <c r="N53" s="94">
        <v>7.6869860819953229E-2</v>
      </c>
      <c r="P53" s="94">
        <v>7.2246109793189114E-2</v>
      </c>
    </row>
    <row r="54" spans="2:16">
      <c r="B54" t="s">
        <v>132</v>
      </c>
      <c r="H54" s="94">
        <v>0.10541780024509805</v>
      </c>
      <c r="J54" s="94">
        <v>0.1018332282337277</v>
      </c>
      <c r="L54" s="94">
        <v>9.8376190777232822E-2</v>
      </c>
      <c r="N54" s="94">
        <v>9.5041831172286775E-2</v>
      </c>
      <c r="P54" s="94">
        <v>9.1825494909526961E-2</v>
      </c>
    </row>
    <row r="55" spans="2:16">
      <c r="B55" t="s">
        <v>134</v>
      </c>
      <c r="H55" s="94">
        <v>0</v>
      </c>
      <c r="J55" s="94">
        <v>0</v>
      </c>
      <c r="L55" s="94">
        <v>0</v>
      </c>
      <c r="N55" s="94">
        <v>0</v>
      </c>
      <c r="P55" s="94">
        <v>0</v>
      </c>
    </row>
    <row r="56" spans="2:16">
      <c r="B56" t="s">
        <v>135</v>
      </c>
      <c r="H56" s="94">
        <v>0.30342920241013077</v>
      </c>
      <c r="J56" s="94">
        <v>0.29069051842228116</v>
      </c>
      <c r="L56" s="94">
        <v>0.27854191346689589</v>
      </c>
      <c r="N56" s="94">
        <v>0.26695352316452675</v>
      </c>
      <c r="P56" s="94">
        <v>0.25589709961224305</v>
      </c>
    </row>
    <row r="57" spans="2:16">
      <c r="B57" t="s">
        <v>47</v>
      </c>
      <c r="H57" s="94">
        <v>0.21144753370098041</v>
      </c>
      <c r="J57" s="94">
        <v>0.24355654595856985</v>
      </c>
      <c r="L57" s="94">
        <v>0.2757923380169639</v>
      </c>
      <c r="N57" s="94">
        <v>0.30934438024680527</v>
      </c>
      <c r="P57" s="94">
        <v>0.34330902976835476</v>
      </c>
    </row>
    <row r="58" spans="2:16">
      <c r="B58" t="s">
        <v>114</v>
      </c>
      <c r="H58" s="94">
        <v>9.1981668709150366E-2</v>
      </c>
      <c r="J58" s="94">
        <v>4.7133972463711316E-2</v>
      </c>
      <c r="L58" s="94">
        <v>2.7495754499319847E-3</v>
      </c>
      <c r="N58" s="94">
        <v>-4.2390857082278521E-2</v>
      </c>
      <c r="P58" s="94">
        <v>-8.7411930156111706E-2</v>
      </c>
    </row>
    <row r="59" spans="2:16">
      <c r="B59" t="s">
        <v>38</v>
      </c>
      <c r="H59" s="94">
        <v>5.3692961680438733</v>
      </c>
      <c r="J59" s="94">
        <v>6.9000949747871596</v>
      </c>
      <c r="L59" s="94">
        <v>8.5386161398269866</v>
      </c>
      <c r="N59" s="94">
        <v>10.347848632063195</v>
      </c>
      <c r="P59" s="94">
        <v>12.357418459570544</v>
      </c>
    </row>
    <row r="60" spans="2:16">
      <c r="B60" t="s">
        <v>39</v>
      </c>
      <c r="H60" s="7">
        <v>484694.26693333336</v>
      </c>
      <c r="J60" s="7">
        <v>523833.21786666673</v>
      </c>
      <c r="L60" s="7">
        <v>584729.21390066668</v>
      </c>
      <c r="N60" s="7">
        <v>636443.32338655344</v>
      </c>
      <c r="P60" s="7">
        <v>687940.26928392565</v>
      </c>
    </row>
    <row r="61" spans="2:16">
      <c r="B61" t="s">
        <v>44</v>
      </c>
      <c r="H61" s="7">
        <v>484694.26693333336</v>
      </c>
      <c r="J61" s="7">
        <v>523833.21786666673</v>
      </c>
      <c r="L61" s="7">
        <v>584729.21390066668</v>
      </c>
      <c r="N61" s="7">
        <v>636443.32338655344</v>
      </c>
      <c r="P61" s="7">
        <v>687940.26928392565</v>
      </c>
    </row>
    <row r="62" spans="2:16">
      <c r="B62" t="s">
        <v>51</v>
      </c>
      <c r="H62" s="94">
        <v>1.0134361315359477</v>
      </c>
      <c r="J62" s="94">
        <v>1.0546992557700163</v>
      </c>
      <c r="L62" s="94">
        <v>1.0956266153273007</v>
      </c>
      <c r="N62" s="94">
        <v>1.1374326882545651</v>
      </c>
      <c r="P62" s="94">
        <v>1.1792374250656388</v>
      </c>
    </row>
    <row r="64" spans="2:16" ht="6.75" customHeight="1">
      <c r="B64" s="32"/>
      <c r="C64" s="32"/>
      <c r="D64" s="32"/>
      <c r="E64" s="32"/>
      <c r="F64" s="32"/>
      <c r="G64" s="32"/>
      <c r="H64" s="25"/>
      <c r="I64" s="32"/>
      <c r="J64" s="25"/>
      <c r="K64" s="32"/>
      <c r="L64" s="25"/>
      <c r="M64" s="32"/>
      <c r="N64" s="25"/>
      <c r="O64" s="32"/>
      <c r="P64" s="25"/>
    </row>
    <row r="66" spans="2:16">
      <c r="B66" s="6"/>
    </row>
    <row r="67" spans="2:16" ht="6.75" customHeight="1">
      <c r="B67" s="32"/>
      <c r="C67" s="32"/>
      <c r="D67" s="32"/>
      <c r="E67" s="32"/>
      <c r="F67" s="32"/>
      <c r="G67" s="32"/>
      <c r="H67" s="25"/>
      <c r="I67" s="32"/>
      <c r="J67" s="25"/>
      <c r="K67" s="32"/>
      <c r="L67" s="25"/>
      <c r="M67" s="32"/>
      <c r="N67" s="25"/>
      <c r="O67" s="32"/>
      <c r="P67" s="25"/>
    </row>
    <row r="68" spans="2:16" ht="26">
      <c r="B68" s="23" t="s">
        <v>53</v>
      </c>
      <c r="G68" s="5"/>
      <c r="H68"/>
      <c r="J68"/>
      <c r="L68"/>
      <c r="N68" t="s">
        <v>284</v>
      </c>
      <c r="P68" t="s">
        <v>286</v>
      </c>
    </row>
    <row r="69" spans="2:16" ht="15.75" customHeight="1">
      <c r="B69" s="5"/>
    </row>
    <row r="70" spans="2:16" ht="15" thickBot="1">
      <c r="H70" s="33"/>
      <c r="I70" s="34"/>
      <c r="J70" s="33"/>
      <c r="K70" s="34"/>
      <c r="L70" s="35" t="s">
        <v>59</v>
      </c>
      <c r="M70" s="34"/>
      <c r="N70" s="33"/>
      <c r="O70" s="34"/>
      <c r="P70" s="33"/>
    </row>
    <row r="71" spans="2:16">
      <c r="B71" s="22" t="s">
        <v>74</v>
      </c>
      <c r="H71" s="10">
        <v>43465</v>
      </c>
      <c r="I71" s="8"/>
      <c r="J71" s="10">
        <v>43830</v>
      </c>
      <c r="K71" s="8"/>
      <c r="L71" s="10">
        <v>44196</v>
      </c>
      <c r="M71" s="8"/>
      <c r="N71" s="10">
        <v>44561</v>
      </c>
      <c r="O71" s="8"/>
      <c r="P71" s="10">
        <v>44926</v>
      </c>
    </row>
    <row r="72" spans="2:16">
      <c r="H72"/>
      <c r="J72"/>
      <c r="L72"/>
      <c r="N72"/>
      <c r="P72"/>
    </row>
    <row r="73" spans="2:16">
      <c r="B73" t="s">
        <v>115</v>
      </c>
      <c r="H73" s="94">
        <v>0.23800669075649086</v>
      </c>
      <c r="J73" s="94">
        <v>0.19897068820042621</v>
      </c>
      <c r="L73" s="94">
        <v>0.17170675760258319</v>
      </c>
      <c r="N73" s="94">
        <v>0.15114440467318452</v>
      </c>
      <c r="P73" s="94">
        <v>0.13509915317717441</v>
      </c>
    </row>
    <row r="74" spans="2:16">
      <c r="B74" t="s">
        <v>116</v>
      </c>
      <c r="H74" s="94">
        <v>0.23800669075649086</v>
      </c>
      <c r="J74" s="94">
        <v>0.19897068820042621</v>
      </c>
      <c r="L74" s="94">
        <v>0.17170675760258319</v>
      </c>
      <c r="N74" s="94">
        <v>0.15114440467318452</v>
      </c>
      <c r="P74" s="94">
        <v>0.13509915317717441</v>
      </c>
    </row>
    <row r="75" spans="2:16">
      <c r="B75" t="s">
        <v>242</v>
      </c>
      <c r="H75" s="94">
        <v>9.1148395663484556E-3</v>
      </c>
      <c r="J75" s="94">
        <v>7.1615550897732826E-3</v>
      </c>
      <c r="L75" s="94">
        <v>5.8085000091197365E-3</v>
      </c>
      <c r="N75" s="94">
        <v>4.805372441366652E-3</v>
      </c>
      <c r="P75" s="94">
        <v>4.0368812836583026E-3</v>
      </c>
    </row>
    <row r="76" spans="2:16">
      <c r="B76" t="s">
        <v>48</v>
      </c>
      <c r="H76" s="94">
        <v>6.2879615430085051E-2</v>
      </c>
      <c r="J76" s="94">
        <v>4.2077204812120642E-2</v>
      </c>
      <c r="L76" s="94">
        <v>2.5017909575693238E-2</v>
      </c>
      <c r="N76" s="94">
        <v>1.7899489409995757E-2</v>
      </c>
      <c r="P76" s="94">
        <v>1.3709373223957167E-2</v>
      </c>
    </row>
    <row r="77" spans="2:16">
      <c r="B77" t="s">
        <v>207</v>
      </c>
      <c r="H77" s="97">
        <v>7465</v>
      </c>
      <c r="J77" s="7">
        <v>41779.20000000007</v>
      </c>
      <c r="L77" s="7">
        <v>44453.068800000008</v>
      </c>
      <c r="N77" s="7">
        <v>47298.065203200094</v>
      </c>
      <c r="P77" s="7">
        <v>50325.141376204905</v>
      </c>
    </row>
    <row r="78" spans="2:16">
      <c r="B78" t="s">
        <v>118</v>
      </c>
      <c r="H78" s="97">
        <v>647032.03666666662</v>
      </c>
      <c r="J78" s="7">
        <v>748081.89019333338</v>
      </c>
      <c r="L78" s="7">
        <v>813175.25326366629</v>
      </c>
      <c r="N78" s="7">
        <v>898473.19863273669</v>
      </c>
      <c r="P78" s="7">
        <v>990389.10065174568</v>
      </c>
    </row>
    <row r="79" spans="2:16">
      <c r="B79" t="s">
        <v>119</v>
      </c>
      <c r="H79" s="94">
        <v>-1.0557653820656182E-2</v>
      </c>
      <c r="J79" s="94">
        <v>-1.9707957647851777E-2</v>
      </c>
      <c r="L79" s="94">
        <v>-6.2239095640418025E-3</v>
      </c>
      <c r="N79" s="94">
        <v>-3.6352739405356256E-3</v>
      </c>
      <c r="P79" s="94">
        <v>-2.2593792888904829E-3</v>
      </c>
    </row>
    <row r="80" spans="2:16">
      <c r="B80" t="s">
        <v>280</v>
      </c>
      <c r="H80" s="94">
        <v>5.0325927764791924E-2</v>
      </c>
      <c r="J80" s="94">
        <v>4.8393975260609567E-2</v>
      </c>
      <c r="L80" s="94">
        <v>4.7313264749837103E-2</v>
      </c>
      <c r="N80" s="94">
        <v>4.6748676140264907E-2</v>
      </c>
      <c r="P80" s="94">
        <v>4.6400206557518489E-2</v>
      </c>
    </row>
    <row r="81" spans="2:16">
      <c r="B81" t="s">
        <v>124</v>
      </c>
      <c r="H81" s="94">
        <v>0</v>
      </c>
      <c r="J81" s="94">
        <v>0</v>
      </c>
      <c r="L81" s="94">
        <v>0</v>
      </c>
      <c r="N81" s="94">
        <v>0</v>
      </c>
      <c r="P81" s="94">
        <v>0</v>
      </c>
    </row>
    <row r="82" spans="2:16">
      <c r="B82" t="s">
        <v>127</v>
      </c>
      <c r="H82" s="94">
        <v>-1.0557653820656182E-2</v>
      </c>
      <c r="J82" s="94">
        <v>-1.9707957647851777E-2</v>
      </c>
      <c r="L82" s="94">
        <v>-6.2239095640418025E-3</v>
      </c>
      <c r="N82" s="94">
        <v>-3.6352739405356256E-3</v>
      </c>
      <c r="P82" s="94">
        <v>-2.2593792888904829E-3</v>
      </c>
    </row>
    <row r="83" spans="2:16">
      <c r="B83" t="s">
        <v>128</v>
      </c>
      <c r="H83" s="94">
        <v>0.38774620849744734</v>
      </c>
      <c r="J83" s="94">
        <v>0.25005808654533168</v>
      </c>
      <c r="L83" s="94">
        <v>0.1800772260790392</v>
      </c>
      <c r="N83" s="94">
        <v>0.13665290524648019</v>
      </c>
      <c r="P83" s="94">
        <v>0.10755513539865352</v>
      </c>
    </row>
    <row r="84" spans="2:16">
      <c r="B84" t="s">
        <v>73</v>
      </c>
      <c r="H84" s="94">
        <v>0.1148654616013072</v>
      </c>
      <c r="J84" s="94">
        <v>6.4359475972406488E-2</v>
      </c>
      <c r="L84" s="94">
        <v>7.6846288131480645E-2</v>
      </c>
      <c r="N84" s="94">
        <v>7.164079890768156E-2</v>
      </c>
      <c r="P84" s="94">
        <v>6.787965696502829E-2</v>
      </c>
    </row>
    <row r="85" spans="2:16">
      <c r="B85" t="s">
        <v>132</v>
      </c>
      <c r="H85" s="94">
        <v>0.10541780024509805</v>
      </c>
      <c r="J85" s="94">
        <v>0.1018332282337277</v>
      </c>
      <c r="L85" s="94">
        <v>9.8376190777232822E-2</v>
      </c>
      <c r="N85" s="94">
        <v>9.5041831172286775E-2</v>
      </c>
      <c r="P85" s="94">
        <v>9.1825494909526961E-2</v>
      </c>
    </row>
    <row r="86" spans="2:16">
      <c r="B86" t="s">
        <v>134</v>
      </c>
      <c r="H86" s="94">
        <v>0</v>
      </c>
      <c r="J86" s="94">
        <v>0</v>
      </c>
      <c r="L86" s="94">
        <v>0</v>
      </c>
      <c r="N86" s="94">
        <v>0</v>
      </c>
      <c r="P86" s="94">
        <v>0</v>
      </c>
    </row>
    <row r="87" spans="2:16">
      <c r="B87" t="s">
        <v>135</v>
      </c>
      <c r="H87" s="94">
        <v>0.32570106209150329</v>
      </c>
      <c r="J87" s="94">
        <v>0.26802593243986189</v>
      </c>
      <c r="L87" s="94">
        <v>0.27359866968594626</v>
      </c>
      <c r="N87" s="94">
        <v>0.26172446125225513</v>
      </c>
      <c r="P87" s="94">
        <v>0.25153064678408221</v>
      </c>
    </row>
    <row r="88" spans="2:16">
      <c r="B88" t="s">
        <v>47</v>
      </c>
      <c r="H88" s="94">
        <v>0.21144753370098041</v>
      </c>
      <c r="J88" s="94">
        <v>0.2432216307753913</v>
      </c>
      <c r="L88" s="94">
        <v>0.27554689990328785</v>
      </c>
      <c r="N88" s="94">
        <v>0.30929809304782613</v>
      </c>
      <c r="P88" s="94">
        <v>0.34345297854433932</v>
      </c>
    </row>
    <row r="89" spans="2:16">
      <c r="B89" t="s">
        <v>114</v>
      </c>
      <c r="H89" s="94">
        <v>0.11425352839052288</v>
      </c>
      <c r="J89" s="94">
        <v>2.480430166447059E-2</v>
      </c>
      <c r="L89" s="94">
        <v>-1.9482302173415844E-3</v>
      </c>
      <c r="N89" s="94">
        <v>-4.7573631795571003E-2</v>
      </c>
      <c r="P89" s="94">
        <v>-9.1922331760257103E-2</v>
      </c>
    </row>
    <row r="90" spans="2:16">
      <c r="B90" t="s">
        <v>38</v>
      </c>
      <c r="H90" s="94">
        <v>5.279217252946677</v>
      </c>
      <c r="J90" s="94">
        <v>6.9479764335694414</v>
      </c>
      <c r="L90" s="94">
        <v>8.6154428691549505</v>
      </c>
      <c r="N90" s="94">
        <v>10.467270188916684</v>
      </c>
      <c r="P90" s="94">
        <v>12.515857080243002</v>
      </c>
    </row>
    <row r="91" spans="2:16">
      <c r="B91" t="s">
        <v>39</v>
      </c>
      <c r="H91" s="7">
        <v>480041.76453333336</v>
      </c>
      <c r="J91" s="7">
        <v>525090.61166666681</v>
      </c>
      <c r="L91" s="7">
        <v>587810.39373400004</v>
      </c>
      <c r="N91" s="7">
        <v>639616.37161988684</v>
      </c>
      <c r="P91" s="7">
        <v>691282.84141725895</v>
      </c>
    </row>
    <row r="92" spans="2:16">
      <c r="B92" t="s">
        <v>44</v>
      </c>
      <c r="H92" s="7">
        <v>480041.76453333336</v>
      </c>
      <c r="J92" s="7">
        <v>525090.61166666681</v>
      </c>
      <c r="L92" s="7">
        <v>587810.39373400004</v>
      </c>
      <c r="N92" s="7">
        <v>639616.37161988684</v>
      </c>
      <c r="P92" s="7">
        <v>691282.84141725895</v>
      </c>
    </row>
    <row r="93" spans="2:16">
      <c r="B93" t="s">
        <v>51</v>
      </c>
      <c r="H93" s="94">
        <v>0.99116427185457512</v>
      </c>
      <c r="J93" s="94">
        <v>1.0770289265692572</v>
      </c>
      <c r="L93" s="94">
        <v>1.1003244209945744</v>
      </c>
      <c r="N93" s="94">
        <v>1.1426154629678578</v>
      </c>
      <c r="P93" s="94">
        <v>1.1837478266697841</v>
      </c>
    </row>
    <row r="95" spans="2:16" ht="6.75" customHeight="1">
      <c r="B95" s="32"/>
      <c r="C95" s="32"/>
      <c r="D95" s="32"/>
      <c r="E95" s="32"/>
      <c r="F95" s="32"/>
      <c r="G95" s="32"/>
      <c r="H95" s="25"/>
      <c r="I95" s="32"/>
      <c r="J95" s="25"/>
      <c r="K95" s="32"/>
      <c r="L95" s="25"/>
      <c r="M95" s="32"/>
      <c r="N95" s="25"/>
      <c r="O95" s="32"/>
      <c r="P95" s="25"/>
    </row>
    <row r="97" spans="2:16">
      <c r="B97" s="6"/>
    </row>
    <row r="98" spans="2:16" ht="6.75" customHeight="1">
      <c r="B98" s="32"/>
      <c r="C98" s="32"/>
      <c r="D98" s="32"/>
      <c r="E98" s="32"/>
      <c r="F98" s="32"/>
      <c r="G98" s="32"/>
      <c r="H98" s="25"/>
      <c r="I98" s="32"/>
      <c r="J98" s="25"/>
      <c r="K98" s="32"/>
      <c r="L98" s="25"/>
      <c r="M98" s="32"/>
      <c r="N98" s="25"/>
      <c r="O98" s="32"/>
      <c r="P98" s="25"/>
    </row>
    <row r="99" spans="2:16" ht="26">
      <c r="B99" s="23" t="s">
        <v>53</v>
      </c>
      <c r="G99" s="5"/>
      <c r="H99"/>
      <c r="J99"/>
      <c r="L99"/>
      <c r="N99" t="s">
        <v>284</v>
      </c>
      <c r="P99" t="s">
        <v>287</v>
      </c>
    </row>
    <row r="100" spans="2:16" ht="15.75" customHeight="1">
      <c r="B100" s="5"/>
    </row>
    <row r="101" spans="2:16" ht="15" thickBot="1">
      <c r="H101" s="33"/>
      <c r="I101" s="34"/>
      <c r="J101" s="33"/>
      <c r="K101" s="34"/>
      <c r="L101" s="35" t="s">
        <v>59</v>
      </c>
      <c r="M101" s="34"/>
      <c r="N101" s="33"/>
      <c r="O101" s="34"/>
      <c r="P101" s="33"/>
    </row>
    <row r="102" spans="2:16">
      <c r="B102" s="22" t="s">
        <v>74</v>
      </c>
      <c r="H102" s="10">
        <v>43465</v>
      </c>
      <c r="I102" s="8"/>
      <c r="J102" s="10">
        <v>43830</v>
      </c>
      <c r="K102" s="8"/>
      <c r="L102" s="10">
        <v>44196</v>
      </c>
      <c r="M102" s="8"/>
      <c r="N102" s="10">
        <v>44561</v>
      </c>
      <c r="O102" s="8"/>
      <c r="P102" s="10">
        <v>44926</v>
      </c>
    </row>
    <row r="103" spans="2:16">
      <c r="H103"/>
      <c r="J103"/>
      <c r="L103"/>
      <c r="N103"/>
      <c r="P103"/>
    </row>
    <row r="104" spans="2:16">
      <c r="B104" t="s">
        <v>115</v>
      </c>
      <c r="H104" s="94">
        <v>0.23710465060504948</v>
      </c>
      <c r="J104" s="94">
        <v>0.19977117352185325</v>
      </c>
      <c r="L104" s="94">
        <v>0.17225151630995902</v>
      </c>
      <c r="N104" s="94">
        <v>0.15155026204265742</v>
      </c>
      <c r="P104" s="94">
        <v>0.13540387607768359</v>
      </c>
    </row>
    <row r="105" spans="2:16">
      <c r="B105" t="s">
        <v>116</v>
      </c>
      <c r="H105" s="94">
        <v>0.23710465060504948</v>
      </c>
      <c r="J105" s="94">
        <v>0.19977117352185325</v>
      </c>
      <c r="L105" s="94">
        <v>0.17225151630995902</v>
      </c>
      <c r="N105" s="94">
        <v>0.15155026204265742</v>
      </c>
      <c r="P105" s="94">
        <v>0.13540387607768359</v>
      </c>
    </row>
    <row r="106" spans="2:16">
      <c r="B106" t="s">
        <v>242</v>
      </c>
      <c r="H106" s="94">
        <v>9.0802945237840639E-3</v>
      </c>
      <c r="J106" s="94">
        <v>7.1903669704568339E-3</v>
      </c>
      <c r="L106" s="94">
        <v>5.8269281187698189E-3</v>
      </c>
      <c r="N106" s="94">
        <v>4.8182759677830467E-3</v>
      </c>
      <c r="P106" s="94">
        <v>4.0459866714038072E-3</v>
      </c>
    </row>
    <row r="107" spans="2:16">
      <c r="B107" t="s">
        <v>48</v>
      </c>
      <c r="H107" s="94">
        <v>6.0736945048766894E-2</v>
      </c>
      <c r="J107" s="94">
        <v>4.4304989217339469E-2</v>
      </c>
      <c r="L107" s="94">
        <v>2.6563777042037016E-2</v>
      </c>
      <c r="N107" s="94">
        <v>1.8570336995876555E-2</v>
      </c>
      <c r="P107" s="94">
        <v>1.4043535254314668E-2</v>
      </c>
    </row>
    <row r="108" spans="2:16">
      <c r="B108" t="s">
        <v>207</v>
      </c>
      <c r="H108" s="97">
        <v>7465</v>
      </c>
      <c r="J108" s="7">
        <v>41779.20000000007</v>
      </c>
      <c r="L108" s="7">
        <v>44453.068800000008</v>
      </c>
      <c r="N108" s="7">
        <v>47298.065203200094</v>
      </c>
      <c r="P108" s="7">
        <v>50325.141376204905</v>
      </c>
    </row>
    <row r="109" spans="2:16">
      <c r="B109" t="s">
        <v>118</v>
      </c>
      <c r="H109" s="97">
        <v>657466.65999999968</v>
      </c>
      <c r="J109" s="7">
        <v>723659.34416666767</v>
      </c>
      <c r="L109" s="7">
        <v>813551.3263723338</v>
      </c>
      <c r="N109" s="7">
        <v>898152.52742516901</v>
      </c>
      <c r="P109" s="7">
        <v>990384.66227713507</v>
      </c>
    </row>
    <row r="110" spans="2:16">
      <c r="B110" t="s">
        <v>119</v>
      </c>
      <c r="H110" s="94">
        <v>-1.309482566826083E-2</v>
      </c>
      <c r="J110" s="94">
        <v>-1.2574657267491582E-2</v>
      </c>
      <c r="L110" s="94">
        <v>-7.7272577803518512E-3</v>
      </c>
      <c r="N110" s="94">
        <v>-4.2354991871440062E-3</v>
      </c>
      <c r="P110" s="94">
        <v>-2.6454269761539196E-3</v>
      </c>
    </row>
    <row r="111" spans="2:16">
      <c r="B111" t="s">
        <v>280</v>
      </c>
      <c r="H111" s="94">
        <v>5.0135193599470385E-2</v>
      </c>
      <c r="J111" s="94">
        <v>4.8636689019316517E-2</v>
      </c>
      <c r="L111" s="94">
        <v>4.7444147069235727E-2</v>
      </c>
      <c r="N111" s="94">
        <v>4.6812403755773162E-2</v>
      </c>
      <c r="P111" s="94">
        <v>4.6429934214156407E-2</v>
      </c>
    </row>
    <row r="112" spans="2:16">
      <c r="B112" t="s">
        <v>124</v>
      </c>
      <c r="H112" s="94">
        <v>0</v>
      </c>
      <c r="J112" s="94">
        <v>0</v>
      </c>
      <c r="L112" s="94">
        <v>0</v>
      </c>
      <c r="N112" s="94">
        <v>0</v>
      </c>
      <c r="P112" s="94">
        <v>0</v>
      </c>
    </row>
    <row r="113" spans="2:16">
      <c r="B113" t="s">
        <v>127</v>
      </c>
      <c r="H113" s="94">
        <v>-1.309482566826083E-2</v>
      </c>
      <c r="J113" s="94">
        <v>-1.2574657267491582E-2</v>
      </c>
      <c r="L113" s="94">
        <v>-7.7272577803518512E-3</v>
      </c>
      <c r="N113" s="94">
        <v>-4.2354991871440062E-3</v>
      </c>
      <c r="P113" s="94">
        <v>-2.6454269761539196E-3</v>
      </c>
    </row>
    <row r="114" spans="2:16">
      <c r="B114" t="s">
        <v>128</v>
      </c>
      <c r="H114" s="94">
        <v>0.38268073654883122</v>
      </c>
      <c r="J114" s="94">
        <v>0.25549460376696714</v>
      </c>
      <c r="L114" s="94">
        <v>0.18274424639027814</v>
      </c>
      <c r="N114" s="94">
        <v>0.1381329579631497</v>
      </c>
      <c r="P114" s="94">
        <v>0.1083388222829938</v>
      </c>
    </row>
    <row r="115" spans="2:16">
      <c r="B115" t="s">
        <v>73</v>
      </c>
      <c r="H115" s="94">
        <v>9.8881050857843114E-2</v>
      </c>
      <c r="J115" s="94">
        <v>9.9761486283109699E-2</v>
      </c>
      <c r="L115" s="94">
        <v>7.622581003777322E-2</v>
      </c>
      <c r="N115" s="94">
        <v>7.164079890768156E-2</v>
      </c>
      <c r="P115" s="94">
        <v>6.7331577920753338E-2</v>
      </c>
    </row>
    <row r="116" spans="2:16">
      <c r="B116" t="s">
        <v>132</v>
      </c>
      <c r="H116" s="94">
        <v>0.10541780024509805</v>
      </c>
      <c r="J116" s="94">
        <v>0.1018332282337277</v>
      </c>
      <c r="L116" s="94">
        <v>9.8376190777232822E-2</v>
      </c>
      <c r="N116" s="94">
        <v>9.5041831172286775E-2</v>
      </c>
      <c r="P116" s="94">
        <v>9.1825494909526961E-2</v>
      </c>
    </row>
    <row r="117" spans="2:16">
      <c r="B117" t="s">
        <v>134</v>
      </c>
      <c r="H117" s="94">
        <v>0</v>
      </c>
      <c r="J117" s="94">
        <v>0</v>
      </c>
      <c r="L117" s="94">
        <v>0</v>
      </c>
      <c r="N117" s="94">
        <v>0</v>
      </c>
      <c r="P117" s="94">
        <v>0</v>
      </c>
    </row>
    <row r="118" spans="2:16">
      <c r="B118" t="s">
        <v>135</v>
      </c>
      <c r="H118" s="94">
        <v>0.30971665134803922</v>
      </c>
      <c r="J118" s="94">
        <v>0.30342794275056512</v>
      </c>
      <c r="L118" s="94">
        <v>0.27297819159223885</v>
      </c>
      <c r="N118" s="94">
        <v>0.26172446125225513</v>
      </c>
      <c r="P118" s="94">
        <v>0.25098256773980726</v>
      </c>
    </row>
    <row r="119" spans="2:16">
      <c r="B119" t="s">
        <v>47</v>
      </c>
      <c r="H119" s="94">
        <v>0.21144753370098041</v>
      </c>
      <c r="J119" s="94">
        <v>0.24346199785424036</v>
      </c>
      <c r="L119" s="94">
        <v>0.27543529418842433</v>
      </c>
      <c r="N119" s="94">
        <v>0.30889028580232147</v>
      </c>
      <c r="P119" s="94">
        <v>0.34289959459889274</v>
      </c>
    </row>
    <row r="120" spans="2:16">
      <c r="B120" t="s">
        <v>114</v>
      </c>
      <c r="H120" s="94">
        <v>9.8269117647058812E-2</v>
      </c>
      <c r="J120" s="94">
        <v>5.9965944896324758E-2</v>
      </c>
      <c r="L120" s="94">
        <v>-2.4571025961854787E-3</v>
      </c>
      <c r="N120" s="94">
        <v>-4.7165824550066349E-2</v>
      </c>
      <c r="P120" s="94">
        <v>-9.1917026859085482E-2</v>
      </c>
    </row>
    <row r="121" spans="2:16">
      <c r="B121" t="s">
        <v>38</v>
      </c>
      <c r="H121" s="94">
        <v>5.3435818084808231</v>
      </c>
      <c r="J121" s="94">
        <v>6.8021645264680233</v>
      </c>
      <c r="L121" s="94">
        <v>8.4958856538174423</v>
      </c>
      <c r="N121" s="94">
        <v>10.362307623585481</v>
      </c>
      <c r="P121" s="94">
        <v>12.432517515462187</v>
      </c>
    </row>
    <row r="122" spans="2:16">
      <c r="B122" t="s">
        <v>39</v>
      </c>
      <c r="H122" s="7">
        <v>483380.84400000004</v>
      </c>
      <c r="J122" s="7">
        <v>519934.97373333341</v>
      </c>
      <c r="L122" s="7">
        <v>583129.05430066667</v>
      </c>
      <c r="N122" s="7">
        <v>637090.63281988679</v>
      </c>
      <c r="P122" s="7">
        <v>689769.83511725906</v>
      </c>
    </row>
    <row r="123" spans="2:16">
      <c r="B123" t="s">
        <v>44</v>
      </c>
      <c r="H123" s="7">
        <v>483380.84400000004</v>
      </c>
      <c r="J123" s="7">
        <v>519934.97373333341</v>
      </c>
      <c r="L123" s="7">
        <v>583129.05430066667</v>
      </c>
      <c r="N123" s="7">
        <v>637090.63281988679</v>
      </c>
      <c r="P123" s="7">
        <v>689769.83511725906</v>
      </c>
    </row>
    <row r="124" spans="2:16">
      <c r="B124" t="s">
        <v>51</v>
      </c>
      <c r="H124" s="94">
        <v>1.0071486825980391</v>
      </c>
      <c r="J124" s="94">
        <v>1.041867283337403</v>
      </c>
      <c r="L124" s="94">
        <v>1.1008332933734182</v>
      </c>
      <c r="N124" s="94">
        <v>1.1422076557223531</v>
      </c>
      <c r="P124" s="94">
        <v>1.1837425217686124</v>
      </c>
    </row>
    <row r="126" spans="2:16" ht="6.75" customHeight="1">
      <c r="B126" s="32"/>
      <c r="C126" s="32"/>
      <c r="D126" s="32"/>
      <c r="E126" s="32"/>
      <c r="F126" s="32"/>
      <c r="G126" s="32"/>
      <c r="H126" s="25"/>
      <c r="I126" s="32"/>
      <c r="J126" s="25"/>
      <c r="K126" s="32"/>
      <c r="L126" s="25"/>
      <c r="M126" s="32"/>
      <c r="N126" s="25"/>
      <c r="O126" s="32"/>
      <c r="P126" s="25"/>
    </row>
    <row r="128" spans="2:16">
      <c r="B128" s="6"/>
    </row>
    <row r="129" spans="2:16" ht="6.75" customHeight="1">
      <c r="B129" s="32"/>
      <c r="C129" s="32"/>
      <c r="D129" s="32"/>
      <c r="E129" s="32"/>
      <c r="F129" s="32"/>
      <c r="G129" s="32"/>
      <c r="H129" s="25"/>
      <c r="I129" s="32"/>
      <c r="J129" s="25"/>
      <c r="K129" s="32"/>
      <c r="L129" s="25"/>
      <c r="M129" s="32"/>
      <c r="N129" s="25"/>
      <c r="O129" s="32"/>
      <c r="P129" s="25"/>
    </row>
    <row r="130" spans="2:16" ht="26">
      <c r="B130" s="23" t="s">
        <v>53</v>
      </c>
      <c r="G130" s="5"/>
      <c r="H130"/>
      <c r="J130"/>
      <c r="L130"/>
      <c r="N130" t="s">
        <v>284</v>
      </c>
      <c r="P130" t="s">
        <v>293</v>
      </c>
    </row>
    <row r="131" spans="2:16" ht="15.75" customHeight="1">
      <c r="B131" s="5"/>
    </row>
    <row r="132" spans="2:16" ht="15" thickBot="1">
      <c r="H132" s="33"/>
      <c r="I132" s="34"/>
      <c r="J132" s="33"/>
      <c r="K132" s="34"/>
      <c r="L132" s="35" t="s">
        <v>59</v>
      </c>
      <c r="M132" s="34"/>
      <c r="N132" s="33"/>
      <c r="O132" s="34"/>
      <c r="P132" s="33"/>
    </row>
    <row r="133" spans="2:16">
      <c r="B133" s="22" t="s">
        <v>74</v>
      </c>
      <c r="H133" s="10">
        <v>43465</v>
      </c>
      <c r="I133" s="8"/>
      <c r="J133" s="10">
        <v>43830</v>
      </c>
      <c r="K133" s="8"/>
      <c r="L133" s="10">
        <v>44196</v>
      </c>
      <c r="M133" s="8"/>
      <c r="N133" s="10">
        <v>44561</v>
      </c>
      <c r="O133" s="8"/>
      <c r="P133" s="10">
        <v>44926</v>
      </c>
    </row>
    <row r="134" spans="2:16">
      <c r="H134"/>
      <c r="J134"/>
      <c r="L134"/>
      <c r="N134"/>
      <c r="P134"/>
    </row>
    <row r="135" spans="2:16">
      <c r="B135" t="s">
        <v>115</v>
      </c>
      <c r="H135" s="94">
        <v>0.2410476845159929</v>
      </c>
      <c r="J135" s="94">
        <v>0.20167362617819504</v>
      </c>
      <c r="L135" s="94">
        <v>0.17362472474885968</v>
      </c>
      <c r="N135" s="94">
        <v>0.15418148741538373</v>
      </c>
      <c r="P135" s="94">
        <v>0.1374268350380074</v>
      </c>
    </row>
    <row r="136" spans="2:16">
      <c r="B136" t="s">
        <v>116</v>
      </c>
      <c r="H136" s="94">
        <v>0.2410476845159929</v>
      </c>
      <c r="J136" s="94">
        <v>0.20167362617819504</v>
      </c>
      <c r="L136" s="94">
        <v>0.17362472474885968</v>
      </c>
      <c r="N136" s="94">
        <v>0.15418148741538373</v>
      </c>
      <c r="P136" s="94">
        <v>0.1374268350380074</v>
      </c>
    </row>
    <row r="137" spans="2:16">
      <c r="B137" t="s">
        <v>242</v>
      </c>
      <c r="H137" s="94">
        <v>9.2312991925548749E-3</v>
      </c>
      <c r="J137" s="94">
        <v>7.2588419786467481E-3</v>
      </c>
      <c r="L137" s="94">
        <v>5.8733810443345712E-3</v>
      </c>
      <c r="N137" s="94">
        <v>4.9019311842660087E-3</v>
      </c>
      <c r="P137" s="94">
        <v>4.1064344608420598E-3</v>
      </c>
    </row>
    <row r="138" spans="2:16">
      <c r="B138" t="s">
        <v>48</v>
      </c>
      <c r="H138" s="94">
        <v>7.0047275566262529E-2</v>
      </c>
      <c r="J138" s="94">
        <v>4.7993885046631914E-2</v>
      </c>
      <c r="L138" s="94">
        <v>2.7887234434282097E-2</v>
      </c>
      <c r="N138" s="94">
        <v>2.3740887378066997E-2</v>
      </c>
      <c r="P138" s="94">
        <v>1.7422635210722709E-2</v>
      </c>
    </row>
    <row r="139" spans="2:16">
      <c r="B139" t="s">
        <v>207</v>
      </c>
      <c r="H139" s="97">
        <v>7465</v>
      </c>
      <c r="J139" s="7">
        <v>41779.20000000007</v>
      </c>
      <c r="L139" s="7">
        <v>44453.068800000008</v>
      </c>
      <c r="N139" s="7">
        <v>47298.065203200094</v>
      </c>
      <c r="P139" s="7">
        <v>50325.141376204905</v>
      </c>
    </row>
    <row r="140" spans="2:16">
      <c r="B140" t="s">
        <v>118</v>
      </c>
      <c r="H140" s="97">
        <v>612429.85000000009</v>
      </c>
      <c r="J140" s="7">
        <v>735897.67520666681</v>
      </c>
      <c r="L140" s="7">
        <v>812416.57215433335</v>
      </c>
      <c r="N140" s="7">
        <v>843538.69871460367</v>
      </c>
      <c r="P140" s="7">
        <v>987975.77955437265</v>
      </c>
    </row>
    <row r="141" spans="2:16">
      <c r="B141" t="s">
        <v>119</v>
      </c>
      <c r="H141" s="94">
        <v>-2.0042388279632485E-3</v>
      </c>
      <c r="J141" s="94">
        <v>-2.0361427493889788E-2</v>
      </c>
      <c r="L141" s="94">
        <v>-8.7840419812467985E-3</v>
      </c>
      <c r="N141" s="94">
        <v>3.6368262360761522E-3</v>
      </c>
      <c r="P141" s="94">
        <v>-5.7702544638184245E-3</v>
      </c>
    </row>
    <row r="142" spans="2:16">
      <c r="B142" t="s">
        <v>280</v>
      </c>
      <c r="H142" s="94">
        <v>5.0968938395238708E-2</v>
      </c>
      <c r="J142" s="94">
        <v>4.8890638288164694E-2</v>
      </c>
      <c r="L142" s="94">
        <v>4.7555783383027163E-2</v>
      </c>
      <c r="N142" s="94">
        <v>4.7358341394180652E-2</v>
      </c>
      <c r="P142" s="94">
        <v>4.672792926054662E-2</v>
      </c>
    </row>
    <row r="143" spans="2:16">
      <c r="B143" t="s">
        <v>124</v>
      </c>
      <c r="H143" s="94">
        <v>0</v>
      </c>
      <c r="J143" s="94">
        <v>0</v>
      </c>
      <c r="L143" s="94">
        <v>0</v>
      </c>
      <c r="N143" s="94">
        <v>0</v>
      </c>
      <c r="P143" s="94">
        <v>0</v>
      </c>
    </row>
    <row r="144" spans="2:16">
      <c r="B144" t="s">
        <v>127</v>
      </c>
      <c r="H144" s="94">
        <v>-2.0042388279632485E-3</v>
      </c>
      <c r="J144" s="94">
        <v>-2.0361427493889788E-2</v>
      </c>
      <c r="L144" s="94">
        <v>-8.7840419812467985E-3</v>
      </c>
      <c r="N144" s="94">
        <v>3.6368262360761522E-3</v>
      </c>
      <c r="P144" s="94">
        <v>-5.7702544638184245E-3</v>
      </c>
    </row>
    <row r="145" spans="2:16">
      <c r="B145" t="s">
        <v>128</v>
      </c>
      <c r="H145" s="94">
        <v>0.40469122331334478</v>
      </c>
      <c r="J145" s="94">
        <v>0.26234087013652491</v>
      </c>
      <c r="L145" s="94">
        <v>0.18650954645533965</v>
      </c>
      <c r="N145" s="94">
        <v>0.14999613868802425</v>
      </c>
      <c r="P145" s="94">
        <v>0.11480891314722019</v>
      </c>
    </row>
    <row r="146" spans="2:16">
      <c r="B146" t="s">
        <v>73</v>
      </c>
      <c r="H146" s="94">
        <v>0.16787126225490193</v>
      </c>
      <c r="J146" s="94">
        <v>8.1104261880190653E-2</v>
      </c>
      <c r="L146" s="94">
        <v>7.622581003777322E-2</v>
      </c>
      <c r="N146" s="94">
        <v>0.13936427893109105</v>
      </c>
      <c r="P146" s="94">
        <v>6.7331577920753324E-2</v>
      </c>
    </row>
    <row r="147" spans="2:16">
      <c r="B147" t="s">
        <v>132</v>
      </c>
      <c r="H147" s="94">
        <v>0.10541780024509805</v>
      </c>
      <c r="J147" s="94">
        <v>0.1018332282337277</v>
      </c>
      <c r="L147" s="94">
        <v>9.8376190777232822E-2</v>
      </c>
      <c r="N147" s="94">
        <v>9.5041831172286775E-2</v>
      </c>
      <c r="P147" s="94">
        <v>9.1825494909526961E-2</v>
      </c>
    </row>
    <row r="148" spans="2:16">
      <c r="B148" t="s">
        <v>134</v>
      </c>
      <c r="H148" s="94">
        <v>0</v>
      </c>
      <c r="J148" s="94">
        <v>0</v>
      </c>
      <c r="L148" s="94">
        <v>0</v>
      </c>
      <c r="N148" s="94">
        <v>0</v>
      </c>
      <c r="P148" s="94">
        <v>0</v>
      </c>
    </row>
    <row r="149" spans="2:16">
      <c r="B149" t="s">
        <v>135</v>
      </c>
      <c r="H149" s="94">
        <v>0.37870686274509802</v>
      </c>
      <c r="J149" s="94">
        <v>0.28477071834764606</v>
      </c>
      <c r="L149" s="94">
        <v>0.27297819159223885</v>
      </c>
      <c r="N149" s="94">
        <v>0.32944794127566457</v>
      </c>
      <c r="P149" s="94">
        <v>0.25098256773980726</v>
      </c>
    </row>
    <row r="150" spans="2:16">
      <c r="B150" t="s">
        <v>47</v>
      </c>
      <c r="H150" s="94">
        <v>0.21144753370098041</v>
      </c>
      <c r="J150" s="94">
        <v>0.24242455106631466</v>
      </c>
      <c r="L150" s="94">
        <v>0.27389983455302497</v>
      </c>
      <c r="N150" s="94">
        <v>0.30715971280385629</v>
      </c>
      <c r="P150" s="94">
        <v>0.34002041339032024</v>
      </c>
    </row>
    <row r="151" spans="2:16">
      <c r="B151" t="s">
        <v>114</v>
      </c>
      <c r="H151" s="94">
        <v>0.16725932904411761</v>
      </c>
      <c r="J151" s="94">
        <v>4.2346167281331393E-2</v>
      </c>
      <c r="L151" s="94">
        <v>-9.2164296078611763E-4</v>
      </c>
      <c r="N151" s="94">
        <v>2.228822847180828E-2</v>
      </c>
      <c r="P151" s="94">
        <v>-8.9037845650512981E-2</v>
      </c>
    </row>
    <row r="152" spans="2:16">
      <c r="B152" t="s">
        <v>38</v>
      </c>
      <c r="H152" s="94">
        <v>5.0756154459009108</v>
      </c>
      <c r="J152" s="94">
        <v>6.652133481402446</v>
      </c>
      <c r="L152" s="94">
        <v>8.3503385970300492</v>
      </c>
      <c r="N152" s="94">
        <v>9.5777079473370197</v>
      </c>
      <c r="P152" s="94">
        <v>11.772572327684955</v>
      </c>
    </row>
    <row r="153" spans="2:16">
      <c r="B153" t="s">
        <v>39</v>
      </c>
      <c r="H153" s="7">
        <v>468969.06480000005</v>
      </c>
      <c r="J153" s="7">
        <v>512372.25753333338</v>
      </c>
      <c r="L153" s="7">
        <v>579742.85200066667</v>
      </c>
      <c r="N153" s="7">
        <v>617489.82128655352</v>
      </c>
      <c r="P153" s="7">
        <v>674067.3634839257</v>
      </c>
    </row>
    <row r="154" spans="2:16">
      <c r="B154" t="s">
        <v>44</v>
      </c>
      <c r="H154" s="7">
        <v>468969.06480000005</v>
      </c>
      <c r="J154" s="7">
        <v>512372.25753333338</v>
      </c>
      <c r="L154" s="7">
        <v>579742.85200066667</v>
      </c>
      <c r="N154" s="7">
        <v>617489.82128655352</v>
      </c>
      <c r="P154" s="7">
        <v>674067.3634839257</v>
      </c>
    </row>
    <row r="155" spans="2:16">
      <c r="B155" t="s">
        <v>51</v>
      </c>
      <c r="H155" s="94">
        <v>0.9381584712009805</v>
      </c>
      <c r="J155" s="94">
        <v>1.0594870609523963</v>
      </c>
      <c r="L155" s="94">
        <v>1.0992978337380188</v>
      </c>
      <c r="N155" s="94">
        <v>1.0727536027004785</v>
      </c>
      <c r="P155" s="94">
        <v>1.1808633405600399</v>
      </c>
    </row>
    <row r="157" spans="2:16" ht="6.75" customHeight="1">
      <c r="B157" s="32"/>
      <c r="C157" s="32"/>
      <c r="D157" s="32"/>
      <c r="E157" s="32"/>
      <c r="F157" s="32"/>
      <c r="G157" s="32"/>
      <c r="H157" s="25"/>
      <c r="I157" s="32"/>
      <c r="J157" s="25"/>
      <c r="K157" s="32"/>
      <c r="L157" s="25"/>
      <c r="M157" s="32"/>
      <c r="N157" s="25"/>
      <c r="O157" s="32"/>
      <c r="P157" s="25"/>
    </row>
    <row r="159" spans="2:16">
      <c r="B159" s="6"/>
    </row>
    <row r="160" spans="2:16" ht="6.75" customHeight="1">
      <c r="B160" s="32"/>
      <c r="C160" s="32"/>
      <c r="D160" s="32"/>
      <c r="E160" s="32"/>
      <c r="F160" s="32"/>
      <c r="G160" s="32"/>
      <c r="H160" s="25"/>
      <c r="I160" s="32"/>
      <c r="J160" s="25"/>
      <c r="K160" s="32"/>
      <c r="L160" s="25"/>
      <c r="M160" s="32"/>
      <c r="N160" s="25"/>
      <c r="O160" s="32"/>
      <c r="P160" s="25"/>
    </row>
    <row r="161" spans="2:16" ht="26">
      <c r="B161" s="23" t="s">
        <v>53</v>
      </c>
      <c r="G161" s="5"/>
      <c r="H161"/>
      <c r="J161"/>
      <c r="L161"/>
      <c r="N161" t="s">
        <v>284</v>
      </c>
      <c r="P161" t="s">
        <v>288</v>
      </c>
    </row>
    <row r="162" spans="2:16" ht="15.75" customHeight="1">
      <c r="B162" s="5"/>
    </row>
    <row r="163" spans="2:16" ht="15" thickBot="1">
      <c r="H163" s="33"/>
      <c r="I163" s="34"/>
      <c r="J163" s="33"/>
      <c r="K163" s="34"/>
      <c r="L163" s="35" t="s">
        <v>59</v>
      </c>
      <c r="M163" s="34"/>
      <c r="N163" s="33"/>
      <c r="O163" s="34"/>
      <c r="P163" s="33"/>
    </row>
    <row r="164" spans="2:16">
      <c r="B164" s="22" t="s">
        <v>74</v>
      </c>
      <c r="H164" s="10">
        <v>43465</v>
      </c>
      <c r="I164" s="8"/>
      <c r="J164" s="10">
        <v>43830</v>
      </c>
      <c r="K164" s="8"/>
      <c r="L164" s="10">
        <v>44196</v>
      </c>
      <c r="M164" s="8"/>
      <c r="N164" s="10">
        <v>44561</v>
      </c>
      <c r="O164" s="8"/>
      <c r="P164" s="10">
        <v>44926</v>
      </c>
    </row>
    <row r="165" spans="2:16">
      <c r="H165"/>
      <c r="J165"/>
      <c r="L165"/>
      <c r="N165"/>
      <c r="P165"/>
    </row>
    <row r="166" spans="2:16">
      <c r="B166" t="s">
        <v>115</v>
      </c>
      <c r="H166" s="94">
        <v>0.23902478386152795</v>
      </c>
      <c r="J166" s="94">
        <v>0.20208711674362381</v>
      </c>
      <c r="L166" s="94">
        <v>0.17515478932855413</v>
      </c>
      <c r="N166" s="94">
        <v>0.15462909358650001</v>
      </c>
      <c r="P166" s="94">
        <v>0.13846766539108837</v>
      </c>
    </row>
    <row r="167" spans="2:16">
      <c r="B167" t="s">
        <v>116</v>
      </c>
      <c r="H167" s="94">
        <v>0.23902478386152795</v>
      </c>
      <c r="J167" s="94">
        <v>0.20208711674362381</v>
      </c>
      <c r="L167" s="94">
        <v>0.17515478932855413</v>
      </c>
      <c r="N167" s="94">
        <v>0.15462909358650001</v>
      </c>
      <c r="P167" s="94">
        <v>0.13846766539108837</v>
      </c>
    </row>
    <row r="168" spans="2:16">
      <c r="B168" t="s">
        <v>242</v>
      </c>
      <c r="H168" s="94">
        <v>3.6615316155258572E-2</v>
      </c>
      <c r="J168" s="94">
        <v>2.9094899004119875E-2</v>
      </c>
      <c r="L168" s="94">
        <v>2.3700560411653044E-2</v>
      </c>
      <c r="N168" s="94">
        <v>1.9664648163741156E-2</v>
      </c>
      <c r="P168" s="94">
        <v>1.655014154162994E-2</v>
      </c>
    </row>
    <row r="169" spans="2:16">
      <c r="B169" t="s">
        <v>48</v>
      </c>
      <c r="H169" s="94">
        <v>6.5288820706269735E-2</v>
      </c>
      <c r="J169" s="94">
        <v>4.9523031679132155E-2</v>
      </c>
      <c r="L169" s="94">
        <v>3.2551207260584553E-2</v>
      </c>
      <c r="N169" s="94">
        <v>2.4532291783189528E-2</v>
      </c>
      <c r="P169" s="94">
        <v>1.9492466190333211E-2</v>
      </c>
    </row>
    <row r="170" spans="2:16">
      <c r="B170" t="s">
        <v>207</v>
      </c>
      <c r="H170" s="97">
        <v>7465</v>
      </c>
      <c r="J170" s="7">
        <v>41779.20000000007</v>
      </c>
      <c r="L170" s="7">
        <v>44453.068800000008</v>
      </c>
      <c r="N170" s="7">
        <v>47298.065203200094</v>
      </c>
      <c r="P170" s="7">
        <v>50325.141376204905</v>
      </c>
    </row>
    <row r="171" spans="2:16">
      <c r="B171" t="s">
        <v>118</v>
      </c>
      <c r="H171" s="97">
        <v>635349.54333333345</v>
      </c>
      <c r="J171" s="7">
        <v>705931.0569666666</v>
      </c>
      <c r="L171" s="7">
        <v>782280.91234900057</v>
      </c>
      <c r="N171" s="7">
        <v>865958.18028566986</v>
      </c>
      <c r="P171" s="7">
        <v>956976.70409732591</v>
      </c>
    </row>
    <row r="172" spans="2:16">
      <c r="B172" t="s">
        <v>119</v>
      </c>
      <c r="H172" s="94">
        <v>-7.6940593784211083E-3</v>
      </c>
      <c r="J172" s="94">
        <v>-1.0456082050129344E-2</v>
      </c>
      <c r="L172" s="94">
        <v>-4.0950924873803573E-3</v>
      </c>
      <c r="N172" s="94">
        <v>-2.4292995420076278E-3</v>
      </c>
      <c r="P172" s="94">
        <v>-1.7347451237601291E-3</v>
      </c>
    </row>
    <row r="173" spans="2:16">
      <c r="B173" t="s">
        <v>280</v>
      </c>
      <c r="H173" s="94">
        <v>5.0541201040929989E-2</v>
      </c>
      <c r="J173" s="94">
        <v>4.9097573938897132E-2</v>
      </c>
      <c r="L173" s="94">
        <v>4.8021717552182402E-2</v>
      </c>
      <c r="N173" s="94">
        <v>4.7397463094026572E-2</v>
      </c>
      <c r="P173" s="94">
        <v>4.6971651563693595E-2</v>
      </c>
    </row>
    <row r="174" spans="2:16">
      <c r="B174" t="s">
        <v>124</v>
      </c>
      <c r="H174" s="94">
        <v>0</v>
      </c>
      <c r="J174" s="94">
        <v>0</v>
      </c>
      <c r="L174" s="94">
        <v>0</v>
      </c>
      <c r="N174" s="94">
        <v>0</v>
      </c>
      <c r="P174" s="94">
        <v>0</v>
      </c>
    </row>
    <row r="175" spans="2:16">
      <c r="B175" t="s">
        <v>127</v>
      </c>
      <c r="H175" s="94">
        <v>-7.6940593784211083E-3</v>
      </c>
      <c r="J175" s="94">
        <v>-1.0456082050129344E-2</v>
      </c>
      <c r="L175" s="94">
        <v>-4.0950924873803573E-3</v>
      </c>
      <c r="N175" s="94">
        <v>-2.4292995420076278E-3</v>
      </c>
      <c r="P175" s="94">
        <v>-1.7347451237601291E-3</v>
      </c>
    </row>
    <row r="176" spans="2:16">
      <c r="B176" t="s">
        <v>128</v>
      </c>
      <c r="H176" s="94">
        <v>0.39344179371268878</v>
      </c>
      <c r="J176" s="94">
        <v>0.26662307700972598</v>
      </c>
      <c r="L176" s="94">
        <v>0.19589419740143135</v>
      </c>
      <c r="N176" s="94">
        <v>0.15086827414265888</v>
      </c>
      <c r="P176" s="94">
        <v>0.11986673067514869</v>
      </c>
    </row>
    <row r="177" spans="2:16">
      <c r="B177" t="s">
        <v>73</v>
      </c>
      <c r="H177" s="94">
        <v>0.1327614379084967</v>
      </c>
      <c r="J177" s="94">
        <v>0.1247757875079856</v>
      </c>
      <c r="L177" s="94">
        <v>0.11727047698118956</v>
      </c>
      <c r="N177" s="94">
        <v>0.11021661370412549</v>
      </c>
      <c r="P177" s="94">
        <v>0.10358704295500511</v>
      </c>
    </row>
    <row r="178" spans="2:16">
      <c r="B178" t="s">
        <v>132</v>
      </c>
      <c r="H178" s="94">
        <v>0.10541780024509805</v>
      </c>
      <c r="J178" s="94">
        <v>0.1018332282337277</v>
      </c>
      <c r="L178" s="94">
        <v>9.8376190777232822E-2</v>
      </c>
      <c r="N178" s="94">
        <v>9.5041831172286775E-2</v>
      </c>
      <c r="P178" s="94">
        <v>9.1825494909526961E-2</v>
      </c>
    </row>
    <row r="179" spans="2:16">
      <c r="B179" t="s">
        <v>134</v>
      </c>
      <c r="H179" s="94">
        <v>0</v>
      </c>
      <c r="J179" s="94">
        <v>0</v>
      </c>
      <c r="L179" s="94">
        <v>0</v>
      </c>
      <c r="N179" s="94">
        <v>0</v>
      </c>
      <c r="P179" s="94">
        <v>0</v>
      </c>
    </row>
    <row r="180" spans="2:16">
      <c r="B180" t="s">
        <v>135</v>
      </c>
      <c r="H180" s="94">
        <v>0.34359703839869282</v>
      </c>
      <c r="J180" s="94">
        <v>0.32844224397544097</v>
      </c>
      <c r="L180" s="94">
        <v>0.3140228585356552</v>
      </c>
      <c r="N180" s="94">
        <v>0.30030027604869902</v>
      </c>
      <c r="P180" s="94">
        <v>0.28723803277405902</v>
      </c>
    </row>
    <row r="181" spans="2:16">
      <c r="B181" t="s">
        <v>47</v>
      </c>
      <c r="H181" s="94">
        <v>0.21144753370098041</v>
      </c>
      <c r="J181" s="94">
        <v>0.24295251834971929</v>
      </c>
      <c r="L181" s="94">
        <v>0.27416731073281475</v>
      </c>
      <c r="N181" s="94">
        <v>0.30652357842033318</v>
      </c>
      <c r="P181" s="94">
        <v>0.33922469502917346</v>
      </c>
    </row>
    <row r="182" spans="2:16">
      <c r="B182" t="s">
        <v>114</v>
      </c>
      <c r="H182" s="94">
        <v>0.13214950469771242</v>
      </c>
      <c r="J182" s="94">
        <v>8.5489725625721685E-2</v>
      </c>
      <c r="L182" s="94">
        <v>3.9855547802840452E-2</v>
      </c>
      <c r="N182" s="94">
        <v>-6.223302371634154E-3</v>
      </c>
      <c r="P182" s="94">
        <v>-5.1986662255114446E-2</v>
      </c>
    </row>
    <row r="183" spans="2:16">
      <c r="B183" t="s">
        <v>38</v>
      </c>
      <c r="H183" s="94">
        <v>5.2088255740251892</v>
      </c>
      <c r="J183" s="94">
        <v>6.5405454888970294</v>
      </c>
      <c r="L183" s="94">
        <v>7.9594993273098442</v>
      </c>
      <c r="N183" s="94">
        <v>9.5320953336626761</v>
      </c>
      <c r="P183" s="94">
        <v>11.29001978906369</v>
      </c>
    </row>
    <row r="184" spans="2:16">
      <c r="B184" t="s">
        <v>39</v>
      </c>
      <c r="H184" s="7">
        <v>476303.3666666667</v>
      </c>
      <c r="J184" s="7">
        <v>508624.71113333339</v>
      </c>
      <c r="L184" s="7">
        <v>565587.47266733332</v>
      </c>
      <c r="N184" s="7">
        <v>614679.42581988685</v>
      </c>
      <c r="P184" s="7">
        <v>664340.86228392564</v>
      </c>
    </row>
    <row r="185" spans="2:16">
      <c r="B185" t="s">
        <v>44</v>
      </c>
      <c r="H185" s="7">
        <v>476303.3666666667</v>
      </c>
      <c r="J185" s="7">
        <v>508624.71113333339</v>
      </c>
      <c r="L185" s="7">
        <v>565587.47266733332</v>
      </c>
      <c r="N185" s="7">
        <v>614679.42581988685</v>
      </c>
      <c r="P185" s="7">
        <v>664340.86228392564</v>
      </c>
    </row>
    <row r="186" spans="2:16">
      <c r="B186" t="s">
        <v>51</v>
      </c>
      <c r="H186" s="94">
        <v>0.97326829554738581</v>
      </c>
      <c r="J186" s="94">
        <v>1.0163435026080061</v>
      </c>
      <c r="L186" s="94">
        <v>1.0585206429743923</v>
      </c>
      <c r="N186" s="94">
        <v>1.101265133543921</v>
      </c>
      <c r="P186" s="94">
        <v>1.1438121571646416</v>
      </c>
    </row>
    <row r="188" spans="2:16" ht="6.75" customHeight="1">
      <c r="B188" s="32"/>
      <c r="C188" s="32"/>
      <c r="D188" s="32"/>
      <c r="E188" s="32"/>
      <c r="F188" s="32"/>
      <c r="G188" s="32"/>
      <c r="H188" s="25"/>
      <c r="I188" s="32"/>
      <c r="J188" s="25"/>
      <c r="K188" s="32"/>
      <c r="L188" s="25"/>
      <c r="M188" s="32"/>
      <c r="N188" s="25"/>
      <c r="O188" s="32"/>
      <c r="P188" s="25"/>
    </row>
    <row r="190" spans="2:16">
      <c r="B190" s="6"/>
    </row>
    <row r="191" spans="2:16" ht="6.75" customHeight="1">
      <c r="B191" s="32"/>
      <c r="C191" s="32"/>
      <c r="D191" s="32"/>
      <c r="E191" s="32"/>
      <c r="F191" s="32"/>
      <c r="G191" s="32"/>
      <c r="H191" s="25"/>
      <c r="I191" s="32"/>
      <c r="J191" s="25"/>
      <c r="K191" s="32"/>
      <c r="L191" s="25"/>
      <c r="M191" s="32"/>
      <c r="N191" s="25"/>
      <c r="O191" s="32"/>
      <c r="P191" s="25"/>
    </row>
    <row r="192" spans="2:16" ht="26">
      <c r="B192" s="23" t="s">
        <v>53</v>
      </c>
      <c r="G192" s="5"/>
      <c r="H192"/>
      <c r="J192"/>
      <c r="L192"/>
      <c r="N192" t="s">
        <v>284</v>
      </c>
      <c r="P192" t="s">
        <v>289</v>
      </c>
    </row>
    <row r="193" spans="2:16" ht="15.75" customHeight="1">
      <c r="B193" s="5"/>
    </row>
    <row r="194" spans="2:16" ht="15" thickBot="1">
      <c r="H194" s="33"/>
      <c r="I194" s="34"/>
      <c r="J194" s="33"/>
      <c r="K194" s="34"/>
      <c r="L194" s="35" t="s">
        <v>59</v>
      </c>
      <c r="M194" s="34"/>
      <c r="N194" s="33"/>
      <c r="O194" s="34"/>
      <c r="P194" s="33"/>
    </row>
    <row r="195" spans="2:16">
      <c r="B195" s="22" t="s">
        <v>74</v>
      </c>
      <c r="H195" s="10">
        <v>43465</v>
      </c>
      <c r="I195" s="8"/>
      <c r="J195" s="10">
        <v>43830</v>
      </c>
      <c r="K195" s="8"/>
      <c r="L195" s="10">
        <v>44196</v>
      </c>
      <c r="M195" s="8"/>
      <c r="N195" s="10">
        <v>44561</v>
      </c>
      <c r="O195" s="8"/>
      <c r="P195" s="10">
        <v>44926</v>
      </c>
    </row>
    <row r="196" spans="2:16">
      <c r="H196"/>
      <c r="J196"/>
      <c r="L196"/>
      <c r="N196"/>
      <c r="P196"/>
    </row>
    <row r="197" spans="2:16">
      <c r="B197" t="s">
        <v>115</v>
      </c>
      <c r="H197" s="94">
        <v>0.2395797011610965</v>
      </c>
      <c r="J197" s="94">
        <v>0.20283973695562041</v>
      </c>
      <c r="L197" s="94">
        <v>0.17596252838834966</v>
      </c>
      <c r="N197" s="94">
        <v>0.15543078795794246</v>
      </c>
      <c r="P197" s="94">
        <v>0.13923685705029828</v>
      </c>
    </row>
    <row r="198" spans="2:16">
      <c r="B198" t="s">
        <v>116</v>
      </c>
      <c r="H198" s="94">
        <v>0.2395797011610965</v>
      </c>
      <c r="J198" s="94">
        <v>0.20283973695562041</v>
      </c>
      <c r="L198" s="94">
        <v>0.17596252838834966</v>
      </c>
      <c r="N198" s="94">
        <v>0.15543078795794246</v>
      </c>
      <c r="P198" s="94">
        <v>0.13923685705029828</v>
      </c>
    </row>
    <row r="199" spans="2:16">
      <c r="B199" t="s">
        <v>242</v>
      </c>
      <c r="H199" s="94">
        <v>3.6700321869040514E-2</v>
      </c>
      <c r="J199" s="94">
        <v>2.9203255288327148E-2</v>
      </c>
      <c r="L199" s="94">
        <v>2.3809857271059075E-2</v>
      </c>
      <c r="N199" s="94">
        <v>1.9766602054717364E-2</v>
      </c>
      <c r="P199" s="94">
        <v>1.6642078029449024E-2</v>
      </c>
    </row>
    <row r="200" spans="2:16">
      <c r="B200" t="s">
        <v>48</v>
      </c>
      <c r="H200" s="94">
        <v>6.6597913319783514E-2</v>
      </c>
      <c r="J200" s="94">
        <v>5.1227534639914245E-2</v>
      </c>
      <c r="L200" s="94">
        <v>3.4161431949712599E-2</v>
      </c>
      <c r="N200" s="94">
        <v>2.5969700506364841E-2</v>
      </c>
      <c r="P200" s="94">
        <v>2.0752103970995452E-2</v>
      </c>
    </row>
    <row r="201" spans="2:16">
      <c r="B201" t="s">
        <v>207</v>
      </c>
      <c r="H201" s="97">
        <v>7465</v>
      </c>
      <c r="J201" s="7">
        <v>41779.20000000007</v>
      </c>
      <c r="L201" s="7">
        <v>44453.068800000008</v>
      </c>
      <c r="N201" s="7">
        <v>47298.065203200094</v>
      </c>
      <c r="P201" s="7">
        <v>50325.141376204905</v>
      </c>
    </row>
    <row r="202" spans="2:16">
      <c r="B202" t="s">
        <v>118</v>
      </c>
      <c r="H202" s="97">
        <v>629023.74333333364</v>
      </c>
      <c r="J202" s="7">
        <v>699504.04416666692</v>
      </c>
      <c r="L202" s="7">
        <v>775665.39070900064</v>
      </c>
      <c r="N202" s="7">
        <v>859097.28086366877</v>
      </c>
      <c r="P202" s="7">
        <v>949826.52900422644</v>
      </c>
    </row>
    <row r="203" spans="2:16">
      <c r="B203" t="s">
        <v>119</v>
      </c>
      <c r="H203" s="94">
        <v>-6.1332413283993175E-3</v>
      </c>
      <c r="J203" s="94">
        <v>-9.5052894112575229E-3</v>
      </c>
      <c r="L203" s="94">
        <v>-3.6115619089865715E-3</v>
      </c>
      <c r="N203" s="94">
        <v>-2.1844545619515154E-3</v>
      </c>
      <c r="P203" s="94">
        <v>-1.6186995611087711E-3</v>
      </c>
    </row>
    <row r="204" spans="2:16">
      <c r="B204" t="s">
        <v>280</v>
      </c>
      <c r="H204" s="94">
        <v>5.0658536935331767E-2</v>
      </c>
      <c r="J204" s="94">
        <v>4.9250867482394135E-2</v>
      </c>
      <c r="L204" s="94">
        <v>4.8174190889013029E-2</v>
      </c>
      <c r="N204" s="94">
        <v>4.7537430348216725E-2</v>
      </c>
      <c r="P204" s="94">
        <v>4.7095387223459018E-2</v>
      </c>
    </row>
    <row r="205" spans="2:16">
      <c r="B205" t="s">
        <v>124</v>
      </c>
      <c r="H205" s="94">
        <v>0</v>
      </c>
      <c r="J205" s="94">
        <v>0</v>
      </c>
      <c r="L205" s="94">
        <v>0</v>
      </c>
      <c r="N205" s="94">
        <v>0</v>
      </c>
      <c r="P205" s="94">
        <v>0</v>
      </c>
    </row>
    <row r="206" spans="2:16">
      <c r="B206" t="s">
        <v>127</v>
      </c>
      <c r="H206" s="94">
        <v>-6.1332413283993175E-3</v>
      </c>
      <c r="J206" s="94">
        <v>-9.5052894112575229E-3</v>
      </c>
      <c r="L206" s="94">
        <v>-3.6115619089865715E-3</v>
      </c>
      <c r="N206" s="94">
        <v>-2.1844545619515154E-3</v>
      </c>
      <c r="P206" s="94">
        <v>-1.6186995611087711E-3</v>
      </c>
    </row>
    <row r="207" spans="2:16">
      <c r="B207" t="s">
        <v>128</v>
      </c>
      <c r="H207" s="94">
        <v>0.39653661033484</v>
      </c>
      <c r="J207" s="94">
        <v>0.27028693000445919</v>
      </c>
      <c r="L207" s="94">
        <v>0.19938389647296595</v>
      </c>
      <c r="N207" s="94">
        <v>0.15397679070708284</v>
      </c>
      <c r="P207" s="94">
        <v>0.12256004513269794</v>
      </c>
    </row>
    <row r="208" spans="2:16">
      <c r="B208" t="s">
        <v>73</v>
      </c>
      <c r="H208" s="94">
        <v>0.14245169526143792</v>
      </c>
      <c r="J208" s="94">
        <v>0.13388317223819349</v>
      </c>
      <c r="L208" s="94">
        <v>0.12583004909604653</v>
      </c>
      <c r="N208" s="94">
        <v>0.11826132433838958</v>
      </c>
      <c r="P208" s="94">
        <v>0.11114786122029095</v>
      </c>
    </row>
    <row r="209" spans="2:16">
      <c r="B209" t="s">
        <v>132</v>
      </c>
      <c r="H209" s="94">
        <v>0.10541780024509805</v>
      </c>
      <c r="J209" s="94">
        <v>0.1018332282337277</v>
      </c>
      <c r="L209" s="94">
        <v>9.8376190777232822E-2</v>
      </c>
      <c r="N209" s="94">
        <v>9.5041831172286775E-2</v>
      </c>
      <c r="P209" s="94">
        <v>9.1825494909526961E-2</v>
      </c>
    </row>
    <row r="210" spans="2:16">
      <c r="B210" t="s">
        <v>134</v>
      </c>
      <c r="H210" s="94">
        <v>0</v>
      </c>
      <c r="J210" s="94">
        <v>0</v>
      </c>
      <c r="L210" s="94">
        <v>0</v>
      </c>
      <c r="N210" s="94">
        <v>0</v>
      </c>
      <c r="P210" s="94">
        <v>0</v>
      </c>
    </row>
    <row r="211" spans="2:16">
      <c r="B211" t="s">
        <v>135</v>
      </c>
      <c r="H211" s="94">
        <v>0.35328729575163403</v>
      </c>
      <c r="J211" s="94">
        <v>0.33754962870564886</v>
      </c>
      <c r="L211" s="94">
        <v>0.32258243065051218</v>
      </c>
      <c r="N211" s="94">
        <v>0.30834498668296312</v>
      </c>
      <c r="P211" s="94">
        <v>0.29479885103934489</v>
      </c>
    </row>
    <row r="212" spans="2:16">
      <c r="B212" t="s">
        <v>47</v>
      </c>
      <c r="H212" s="94">
        <v>0.21144753370098041</v>
      </c>
      <c r="J212" s="94">
        <v>0.24280680019403597</v>
      </c>
      <c r="L212" s="94">
        <v>0.27377528232995429</v>
      </c>
      <c r="N212" s="94">
        <v>0.3058430763477808</v>
      </c>
      <c r="P212" s="94">
        <v>0.33823937297325063</v>
      </c>
    </row>
    <row r="213" spans="2:16">
      <c r="B213" t="s">
        <v>114</v>
      </c>
      <c r="H213" s="94">
        <v>0.14183976205065363</v>
      </c>
      <c r="J213" s="94">
        <v>9.4742828511612892E-2</v>
      </c>
      <c r="L213" s="94">
        <v>4.880714832055788E-2</v>
      </c>
      <c r="N213" s="94">
        <v>2.5019103351823224E-3</v>
      </c>
      <c r="P213" s="94">
        <v>-4.344052193390574E-2</v>
      </c>
    </row>
    <row r="214" spans="2:16">
      <c r="B214" t="s">
        <v>38</v>
      </c>
      <c r="H214" s="94">
        <v>5.1714246647671533</v>
      </c>
      <c r="J214" s="94">
        <v>6.4587567616284911</v>
      </c>
      <c r="L214" s="94">
        <v>7.8299212809037853</v>
      </c>
      <c r="N214" s="94">
        <v>9.3515832835757546</v>
      </c>
      <c r="P214" s="94">
        <v>11.055517501373934</v>
      </c>
    </row>
    <row r="215" spans="2:16">
      <c r="B215" t="s">
        <v>39</v>
      </c>
      <c r="H215" s="7">
        <v>474279.11066666665</v>
      </c>
      <c r="J215" s="7">
        <v>504955.74713333347</v>
      </c>
      <c r="L215" s="7">
        <v>560969.63866733341</v>
      </c>
      <c r="N215" s="7">
        <v>609429.01181988686</v>
      </c>
      <c r="P215" s="7">
        <v>658647.64228392567</v>
      </c>
    </row>
    <row r="216" spans="2:16">
      <c r="B216" t="s">
        <v>44</v>
      </c>
      <c r="H216" s="7">
        <v>474279.11066666665</v>
      </c>
      <c r="J216" s="7">
        <v>504955.74713333347</v>
      </c>
      <c r="L216" s="7">
        <v>560969.63866733341</v>
      </c>
      <c r="N216" s="7">
        <v>609429.01181988686</v>
      </c>
      <c r="P216" s="7">
        <v>658647.64228392567</v>
      </c>
    </row>
    <row r="217" spans="2:16">
      <c r="B217" t="s">
        <v>51</v>
      </c>
      <c r="H217" s="94">
        <v>0.96357803819444454</v>
      </c>
      <c r="J217" s="94">
        <v>1.0070903997221148</v>
      </c>
      <c r="L217" s="94">
        <v>1.0495690424566748</v>
      </c>
      <c r="N217" s="94">
        <v>1.0925399208371045</v>
      </c>
      <c r="P217" s="94">
        <v>1.1352660168434328</v>
      </c>
    </row>
    <row r="219" spans="2:16" ht="6.75" customHeight="1">
      <c r="B219" s="32"/>
      <c r="C219" s="32"/>
      <c r="D219" s="32"/>
      <c r="E219" s="32"/>
      <c r="F219" s="32"/>
      <c r="G219" s="32"/>
      <c r="H219" s="25"/>
      <c r="I219" s="32"/>
      <c r="J219" s="25"/>
      <c r="K219" s="32"/>
      <c r="L219" s="25"/>
      <c r="M219" s="32"/>
      <c r="N219" s="25"/>
      <c r="O219" s="32"/>
      <c r="P219" s="25"/>
    </row>
    <row r="221" spans="2:16">
      <c r="B221" s="6"/>
    </row>
    <row r="222" spans="2:16" ht="6.75" customHeight="1">
      <c r="B222" s="32"/>
      <c r="C222" s="32"/>
      <c r="D222" s="32"/>
      <c r="E222" s="32"/>
      <c r="F222" s="32"/>
      <c r="G222" s="32"/>
      <c r="H222" s="25"/>
      <c r="I222" s="32"/>
      <c r="J222" s="25"/>
      <c r="K222" s="32"/>
      <c r="L222" s="25"/>
      <c r="M222" s="32"/>
      <c r="N222" s="25"/>
      <c r="O222" s="32"/>
      <c r="P222" s="25"/>
    </row>
    <row r="223" spans="2:16" ht="26">
      <c r="B223" s="23" t="s">
        <v>53</v>
      </c>
      <c r="G223" s="5"/>
      <c r="H223"/>
      <c r="J223"/>
      <c r="L223"/>
      <c r="N223" t="s">
        <v>284</v>
      </c>
      <c r="P223" t="s">
        <v>290</v>
      </c>
    </row>
    <row r="224" spans="2:16" ht="15.75" customHeight="1">
      <c r="B224" s="5"/>
    </row>
    <row r="225" spans="2:16" ht="15" thickBot="1">
      <c r="H225" s="33"/>
      <c r="I225" s="34"/>
      <c r="J225" s="33"/>
      <c r="K225" s="34"/>
      <c r="L225" s="35" t="s">
        <v>59</v>
      </c>
      <c r="M225" s="34"/>
      <c r="N225" s="33"/>
      <c r="O225" s="34"/>
      <c r="P225" s="33"/>
    </row>
    <row r="226" spans="2:16">
      <c r="B226" s="22" t="s">
        <v>74</v>
      </c>
      <c r="H226" s="10">
        <v>43465</v>
      </c>
      <c r="I226" s="8"/>
      <c r="J226" s="10">
        <v>43830</v>
      </c>
      <c r="K226" s="8"/>
      <c r="L226" s="10">
        <v>44196</v>
      </c>
      <c r="M226" s="8"/>
      <c r="N226" s="10">
        <v>44561</v>
      </c>
      <c r="O226" s="8"/>
      <c r="P226" s="10">
        <v>44926</v>
      </c>
    </row>
    <row r="227" spans="2:16">
      <c r="H227"/>
      <c r="J227"/>
      <c r="L227"/>
      <c r="N227"/>
      <c r="P227"/>
    </row>
    <row r="228" spans="2:16">
      <c r="B228" t="s">
        <v>115</v>
      </c>
      <c r="H228" s="94">
        <v>0.2415627025746532</v>
      </c>
      <c r="J228" s="94">
        <v>0.20275131778512789</v>
      </c>
      <c r="L228" s="94">
        <v>0.17567664861464372</v>
      </c>
      <c r="N228" s="94">
        <v>0.15502921671729838</v>
      </c>
      <c r="P228" s="94">
        <v>0.13880005058126368</v>
      </c>
    </row>
    <row r="229" spans="2:16">
      <c r="B229" t="s">
        <v>116</v>
      </c>
      <c r="H229" s="94">
        <v>0.2415627025746532</v>
      </c>
      <c r="J229" s="94">
        <v>0.20275131778512789</v>
      </c>
      <c r="L229" s="94">
        <v>0.17567664861464372</v>
      </c>
      <c r="N229" s="94">
        <v>0.15502921671729838</v>
      </c>
      <c r="P229" s="94">
        <v>0.13880005058126368</v>
      </c>
    </row>
    <row r="230" spans="2:16">
      <c r="B230" t="s">
        <v>242</v>
      </c>
      <c r="H230" s="94">
        <v>3.7004090467930947E-2</v>
      </c>
      <c r="J230" s="94">
        <v>2.9190525397985986E-2</v>
      </c>
      <c r="L230" s="94">
        <v>2.3771174281726263E-2</v>
      </c>
      <c r="N230" s="94">
        <v>1.9715533028981106E-2</v>
      </c>
      <c r="P230" s="94">
        <v>1.6589869386597976E-2</v>
      </c>
    </row>
    <row r="231" spans="2:16">
      <c r="B231" t="s">
        <v>48</v>
      </c>
      <c r="H231" s="94">
        <v>7.125273190149467E-2</v>
      </c>
      <c r="J231" s="94">
        <v>5.0515507793162745E-2</v>
      </c>
      <c r="L231" s="94">
        <v>3.2636309635130541E-2</v>
      </c>
      <c r="N231" s="94">
        <v>2.4705578737653909E-2</v>
      </c>
      <c r="P231" s="94">
        <v>1.9660978944745455E-2</v>
      </c>
    </row>
    <row r="232" spans="2:16">
      <c r="B232" t="s">
        <v>207</v>
      </c>
      <c r="H232" s="97">
        <v>7465</v>
      </c>
      <c r="J232" s="7">
        <v>41779.20000000007</v>
      </c>
      <c r="L232" s="7">
        <v>44453.068800000008</v>
      </c>
      <c r="N232" s="7">
        <v>47298.065203200094</v>
      </c>
      <c r="P232" s="7">
        <v>50325.141376204905</v>
      </c>
    </row>
    <row r="233" spans="2:16">
      <c r="B233" t="s">
        <v>118</v>
      </c>
      <c r="H233" s="97">
        <v>606655.94333333336</v>
      </c>
      <c r="J233" s="7">
        <v>723365.15936666634</v>
      </c>
      <c r="L233" s="7">
        <v>781006.66760233324</v>
      </c>
      <c r="N233" s="7">
        <v>865367.08543500304</v>
      </c>
      <c r="P233" s="7">
        <v>955632.14777079225</v>
      </c>
    </row>
    <row r="234" spans="2:16">
      <c r="B234" t="s">
        <v>119</v>
      </c>
      <c r="H234" s="94">
        <v>-5.5564552826048517E-4</v>
      </c>
      <c r="J234" s="94">
        <v>-1.783015900301203E-2</v>
      </c>
      <c r="L234" s="94">
        <v>-3.8668807702848572E-3</v>
      </c>
      <c r="N234" s="94">
        <v>-2.5242058478521876E-3</v>
      </c>
      <c r="P234" s="94">
        <v>-1.7087409102045324E-3</v>
      </c>
    </row>
    <row r="235" spans="2:16">
      <c r="B235" t="s">
        <v>280</v>
      </c>
      <c r="H235" s="94">
        <v>5.1077837693553896E-2</v>
      </c>
      <c r="J235" s="94">
        <v>4.9124930253091503E-2</v>
      </c>
      <c r="L235" s="94">
        <v>4.8029589080557468E-2</v>
      </c>
      <c r="N235" s="94">
        <v>4.7403572767371831E-2</v>
      </c>
      <c r="P235" s="94">
        <v>4.6978380688627884E-2</v>
      </c>
    </row>
    <row r="236" spans="2:16">
      <c r="B236" t="s">
        <v>124</v>
      </c>
      <c r="H236" s="94">
        <v>0</v>
      </c>
      <c r="J236" s="94">
        <v>0</v>
      </c>
      <c r="L236" s="94">
        <v>0</v>
      </c>
      <c r="N236" s="94">
        <v>0</v>
      </c>
      <c r="P236" s="94">
        <v>0</v>
      </c>
    </row>
    <row r="237" spans="2:16">
      <c r="B237" t="s">
        <v>127</v>
      </c>
      <c r="H237" s="94">
        <v>-5.5564552826048517E-4</v>
      </c>
      <c r="J237" s="94">
        <v>-1.783015900301203E-2</v>
      </c>
      <c r="L237" s="94">
        <v>-3.8668807702848572E-3</v>
      </c>
      <c r="N237" s="94">
        <v>-2.5242058478521876E-3</v>
      </c>
      <c r="P237" s="94">
        <v>-1.7087409102045324E-3</v>
      </c>
    </row>
    <row r="238" spans="2:16">
      <c r="B238" t="s">
        <v>128</v>
      </c>
      <c r="H238" s="94">
        <v>0.40754103414035758</v>
      </c>
      <c r="J238" s="94">
        <v>0.26788293236404848</v>
      </c>
      <c r="L238" s="94">
        <v>0.19687624193242781</v>
      </c>
      <c r="N238" s="94">
        <v>0.15144509764638284</v>
      </c>
      <c r="P238" s="94">
        <v>0.12031147117817073</v>
      </c>
    </row>
    <row r="239" spans="2:16">
      <c r="B239" t="s">
        <v>73</v>
      </c>
      <c r="H239" s="94">
        <v>0.17671609477124181</v>
      </c>
      <c r="J239" s="94">
        <v>9.9014578419086868E-2</v>
      </c>
      <c r="L239" s="94">
        <v>0.11822505866381643</v>
      </c>
      <c r="N239" s="94">
        <v>0.1102166137041254</v>
      </c>
      <c r="P239" s="94">
        <v>0.10443024148465883</v>
      </c>
    </row>
    <row r="240" spans="2:16">
      <c r="B240" t="s">
        <v>132</v>
      </c>
      <c r="H240" s="94">
        <v>0.10541780024509805</v>
      </c>
      <c r="J240" s="94">
        <v>0.1018332282337277</v>
      </c>
      <c r="L240" s="94">
        <v>9.8376190777232822E-2</v>
      </c>
      <c r="N240" s="94">
        <v>9.5041831172286775E-2</v>
      </c>
      <c r="P240" s="94">
        <v>9.1825494909526961E-2</v>
      </c>
    </row>
    <row r="241" spans="2:16">
      <c r="B241" t="s">
        <v>134</v>
      </c>
      <c r="H241" s="94">
        <v>0</v>
      </c>
      <c r="J241" s="94">
        <v>0</v>
      </c>
      <c r="L241" s="94">
        <v>0</v>
      </c>
      <c r="N241" s="94">
        <v>0</v>
      </c>
      <c r="P241" s="94">
        <v>0</v>
      </c>
    </row>
    <row r="242" spans="2:16">
      <c r="B242" t="s">
        <v>135</v>
      </c>
      <c r="H242" s="94">
        <v>0.3875516952614379</v>
      </c>
      <c r="J242" s="94">
        <v>0.3026810348865423</v>
      </c>
      <c r="L242" s="94">
        <v>0.31497744021828206</v>
      </c>
      <c r="N242" s="94">
        <v>0.30030027604869897</v>
      </c>
      <c r="P242" s="94">
        <v>0.28808123130371277</v>
      </c>
    </row>
    <row r="243" spans="2:16">
      <c r="B243" t="s">
        <v>47</v>
      </c>
      <c r="H243" s="94">
        <v>0.21144753370098041</v>
      </c>
      <c r="J243" s="94">
        <v>0.24229154606606898</v>
      </c>
      <c r="L243" s="94">
        <v>0.27339768523199109</v>
      </c>
      <c r="N243" s="94">
        <v>0.30577186527242817</v>
      </c>
      <c r="P243" s="94">
        <v>0.33846083262861143</v>
      </c>
    </row>
    <row r="244" spans="2:16">
      <c r="B244" t="s">
        <v>114</v>
      </c>
      <c r="H244" s="94">
        <v>0.1761041615604575</v>
      </c>
      <c r="J244" s="94">
        <v>6.0389488820473319E-2</v>
      </c>
      <c r="L244" s="94">
        <v>4.1579754986290962E-2</v>
      </c>
      <c r="N244" s="94">
        <v>-5.4715892237292008E-3</v>
      </c>
      <c r="P244" s="94">
        <v>-5.037960132489866E-2</v>
      </c>
    </row>
    <row r="245" spans="2:16">
      <c r="B245" t="s">
        <v>38</v>
      </c>
      <c r="H245" s="94">
        <v>5.0430368829072121</v>
      </c>
      <c r="J245" s="94">
        <v>6.5234284144247514</v>
      </c>
      <c r="L245" s="94">
        <v>7.9306880245763898</v>
      </c>
      <c r="N245" s="94">
        <v>9.5051791427812642</v>
      </c>
      <c r="P245" s="94">
        <v>11.256684605004329</v>
      </c>
    </row>
    <row r="246" spans="2:16">
      <c r="B246" t="s">
        <v>39</v>
      </c>
      <c r="H246" s="7">
        <v>467121.41466666665</v>
      </c>
      <c r="J246" s="7">
        <v>506890.1991333334</v>
      </c>
      <c r="L246" s="7">
        <v>565709.91533400002</v>
      </c>
      <c r="N246" s="7">
        <v>614310.62448655348</v>
      </c>
      <c r="P246" s="7">
        <v>663790.06095059239</v>
      </c>
    </row>
    <row r="247" spans="2:16">
      <c r="B247" t="s">
        <v>44</v>
      </c>
      <c r="H247" s="7">
        <v>467121.41466666665</v>
      </c>
      <c r="J247" s="7">
        <v>506890.1991333334</v>
      </c>
      <c r="L247" s="7">
        <v>565709.91533400002</v>
      </c>
      <c r="N247" s="7">
        <v>614310.62448655348</v>
      </c>
      <c r="P247" s="7">
        <v>663790.06095059239</v>
      </c>
    </row>
    <row r="248" spans="2:16">
      <c r="B248" t="s">
        <v>51</v>
      </c>
      <c r="H248" s="94">
        <v>0.92931363868464056</v>
      </c>
      <c r="J248" s="94">
        <v>1.0414437394132545</v>
      </c>
      <c r="L248" s="94">
        <v>1.0567964357909416</v>
      </c>
      <c r="N248" s="94">
        <v>1.1005134203960161</v>
      </c>
      <c r="P248" s="94">
        <v>1.1422050962344257</v>
      </c>
    </row>
    <row r="250" spans="2:16" ht="6.75" customHeight="1">
      <c r="B250" s="32"/>
      <c r="C250" s="32"/>
      <c r="D250" s="32"/>
      <c r="E250" s="32"/>
      <c r="F250" s="32"/>
      <c r="G250" s="32"/>
      <c r="H250" s="25"/>
      <c r="I250" s="32"/>
      <c r="J250" s="25"/>
      <c r="K250" s="32"/>
      <c r="L250" s="25"/>
      <c r="M250" s="32"/>
      <c r="N250" s="25"/>
      <c r="O250" s="32"/>
      <c r="P250" s="25"/>
    </row>
    <row r="252" spans="2:16">
      <c r="B252" s="6"/>
    </row>
    <row r="253" spans="2:16" ht="6.75" customHeight="1">
      <c r="B253" s="32"/>
      <c r="C253" s="32"/>
      <c r="D253" s="32"/>
      <c r="E253" s="32"/>
      <c r="F253" s="32"/>
      <c r="G253" s="32"/>
      <c r="H253" s="25"/>
      <c r="I253" s="32"/>
      <c r="J253" s="25"/>
      <c r="K253" s="32"/>
      <c r="L253" s="25"/>
      <c r="M253" s="32"/>
      <c r="N253" s="25"/>
      <c r="O253" s="32"/>
      <c r="P253" s="25"/>
    </row>
    <row r="254" spans="2:16" ht="26">
      <c r="B254" s="23" t="s">
        <v>53</v>
      </c>
      <c r="G254" s="5"/>
      <c r="H254"/>
      <c r="J254"/>
      <c r="L254"/>
      <c r="N254" t="s">
        <v>284</v>
      </c>
      <c r="P254" t="s">
        <v>291</v>
      </c>
    </row>
    <row r="255" spans="2:16" ht="15.75" customHeight="1">
      <c r="B255" s="5"/>
    </row>
    <row r="256" spans="2:16" ht="15" thickBot="1">
      <c r="H256" s="33"/>
      <c r="I256" s="34"/>
      <c r="J256" s="33"/>
      <c r="K256" s="34"/>
      <c r="L256" s="35" t="s">
        <v>59</v>
      </c>
      <c r="M256" s="34"/>
      <c r="N256" s="33"/>
      <c r="O256" s="34"/>
      <c r="P256" s="33"/>
    </row>
    <row r="257" spans="2:16">
      <c r="B257" s="22" t="s">
        <v>74</v>
      </c>
      <c r="H257" s="10">
        <v>43465</v>
      </c>
      <c r="I257" s="8"/>
      <c r="J257" s="10">
        <v>43830</v>
      </c>
      <c r="K257" s="8"/>
      <c r="L257" s="10">
        <v>44196</v>
      </c>
      <c r="M257" s="8"/>
      <c r="N257" s="10">
        <v>44561</v>
      </c>
      <c r="O257" s="8"/>
      <c r="P257" s="10">
        <v>44926</v>
      </c>
    </row>
    <row r="258" spans="2:16">
      <c r="H258"/>
      <c r="J258"/>
      <c r="L258"/>
      <c r="N258"/>
      <c r="P258"/>
    </row>
    <row r="259" spans="2:16">
      <c r="B259" t="s">
        <v>115</v>
      </c>
      <c r="H259" s="94">
        <v>0.24013620578563383</v>
      </c>
      <c r="J259" s="94">
        <v>0.20403300545274006</v>
      </c>
      <c r="L259" s="94">
        <v>0.17655554114444627</v>
      </c>
      <c r="N259" s="94">
        <v>0.15568714357739544</v>
      </c>
      <c r="P259" s="94">
        <v>0.13929554053195348</v>
      </c>
    </row>
    <row r="260" spans="2:16">
      <c r="B260" t="s">
        <v>116</v>
      </c>
      <c r="H260" s="94">
        <v>0.24013620578563383</v>
      </c>
      <c r="J260" s="94">
        <v>0.20403300545274006</v>
      </c>
      <c r="L260" s="94">
        <v>0.17655554114444627</v>
      </c>
      <c r="N260" s="94">
        <v>0.15568714357739544</v>
      </c>
      <c r="P260" s="94">
        <v>0.13929554053195348</v>
      </c>
    </row>
    <row r="261" spans="2:16">
      <c r="B261" t="s">
        <v>242</v>
      </c>
      <c r="H261" s="94">
        <v>3.6785570739220869E-2</v>
      </c>
      <c r="J261" s="94">
        <v>2.9375052614984732E-2</v>
      </c>
      <c r="L261" s="94">
        <v>2.3890099065786048E-2</v>
      </c>
      <c r="N261" s="94">
        <v>1.9799203571963665E-2</v>
      </c>
      <c r="P261" s="94">
        <v>1.6649092085220141E-2</v>
      </c>
    </row>
    <row r="262" spans="2:16">
      <c r="B262" t="s">
        <v>48</v>
      </c>
      <c r="H262" s="94">
        <v>6.7907887091103E-2</v>
      </c>
      <c r="J262" s="94">
        <v>5.4000520968984882E-2</v>
      </c>
      <c r="L262" s="94">
        <v>3.5084615309120076E-2</v>
      </c>
      <c r="N262" s="94">
        <v>2.5785648876308173E-2</v>
      </c>
      <c r="P262" s="94">
        <v>2.0209017008728809E-2</v>
      </c>
    </row>
    <row r="263" spans="2:16">
      <c r="B263" t="s">
        <v>207</v>
      </c>
      <c r="H263" s="97">
        <v>7465</v>
      </c>
      <c r="J263" s="7">
        <v>41779.20000000007</v>
      </c>
      <c r="L263" s="7">
        <v>44453.068800000008</v>
      </c>
      <c r="N263" s="7">
        <v>47298.065203200094</v>
      </c>
      <c r="P263" s="7">
        <v>50325.141376204905</v>
      </c>
    </row>
    <row r="264" spans="2:16">
      <c r="B264" t="s">
        <v>118</v>
      </c>
      <c r="H264" s="97">
        <v>622709.21</v>
      </c>
      <c r="J264" s="7">
        <v>685792.01163333375</v>
      </c>
      <c r="L264" s="7">
        <v>781585.24161566701</v>
      </c>
      <c r="N264" s="7">
        <v>864873.74511567038</v>
      </c>
      <c r="P264" s="7">
        <v>955625.31950215902</v>
      </c>
    </row>
    <row r="265" spans="2:16">
      <c r="B265" t="s">
        <v>119</v>
      </c>
      <c r="H265" s="94">
        <v>-4.5679586032549646E-3</v>
      </c>
      <c r="J265" s="94">
        <v>-6.7266251605507801E-3</v>
      </c>
      <c r="L265" s="94">
        <v>-6.2141654804727144E-3</v>
      </c>
      <c r="N265" s="94">
        <v>-3.4651441970167413E-3</v>
      </c>
      <c r="P265" s="94">
        <v>-2.3165358567516603E-3</v>
      </c>
    </row>
    <row r="266" spans="2:16">
      <c r="B266" t="s">
        <v>280</v>
      </c>
      <c r="H266" s="94">
        <v>5.0776208465683377E-2</v>
      </c>
      <c r="J266" s="94">
        <v>4.9510922828127184E-2</v>
      </c>
      <c r="L266" s="94">
        <v>4.8239561483184645E-2</v>
      </c>
      <c r="N266" s="94">
        <v>4.750707083646917E-2</v>
      </c>
      <c r="P266" s="94">
        <v>4.7027493990201022E-2</v>
      </c>
    </row>
    <row r="267" spans="2:16">
      <c r="B267" t="s">
        <v>124</v>
      </c>
      <c r="H267" s="94">
        <v>0</v>
      </c>
      <c r="J267" s="94">
        <v>0</v>
      </c>
      <c r="L267" s="94">
        <v>0</v>
      </c>
      <c r="N267" s="94">
        <v>0</v>
      </c>
      <c r="P267" s="94">
        <v>0</v>
      </c>
    </row>
    <row r="268" spans="2:16">
      <c r="B268" t="s">
        <v>127</v>
      </c>
      <c r="H268" s="94">
        <v>-4.5679586032549646E-3</v>
      </c>
      <c r="J268" s="94">
        <v>-6.7266251605507801E-3</v>
      </c>
      <c r="L268" s="94">
        <v>-6.2141654804727144E-3</v>
      </c>
      <c r="N268" s="94">
        <v>-3.4651441970167413E-3</v>
      </c>
      <c r="P268" s="94">
        <v>-2.3165358567516603E-3</v>
      </c>
    </row>
    <row r="269" spans="2:16">
      <c r="B269" t="s">
        <v>128</v>
      </c>
      <c r="H269" s="94">
        <v>0.39963351009595005</v>
      </c>
      <c r="J269" s="94">
        <v>0.27638445925010185</v>
      </c>
      <c r="L269" s="94">
        <v>0.2011119368517981</v>
      </c>
      <c r="N269" s="94">
        <v>0.15382718250680172</v>
      </c>
      <c r="P269" s="94">
        <v>0.12159247952071654</v>
      </c>
    </row>
    <row r="270" spans="2:16">
      <c r="B270" t="s">
        <v>73</v>
      </c>
      <c r="H270" s="94">
        <v>0.15212469362745101</v>
      </c>
      <c r="J270" s="94">
        <v>0.15347920966632267</v>
      </c>
      <c r="L270" s="94">
        <v>0.11727047698118953</v>
      </c>
      <c r="N270" s="94">
        <v>0.11021661370412551</v>
      </c>
      <c r="P270" s="94">
        <v>0.10358704295500508</v>
      </c>
    </row>
    <row r="271" spans="2:16">
      <c r="B271" t="s">
        <v>132</v>
      </c>
      <c r="H271" s="94">
        <v>0.10541780024509805</v>
      </c>
      <c r="J271" s="94">
        <v>0.1018332282337277</v>
      </c>
      <c r="L271" s="94">
        <v>9.8376190777232822E-2</v>
      </c>
      <c r="N271" s="94">
        <v>9.5041831172286775E-2</v>
      </c>
      <c r="P271" s="94">
        <v>9.1825494909526961E-2</v>
      </c>
    </row>
    <row r="272" spans="2:16">
      <c r="B272" t="s">
        <v>134</v>
      </c>
      <c r="H272" s="94">
        <v>0</v>
      </c>
      <c r="J272" s="94">
        <v>0</v>
      </c>
      <c r="L272" s="94">
        <v>0</v>
      </c>
      <c r="N272" s="94">
        <v>0</v>
      </c>
      <c r="P272" s="94">
        <v>0</v>
      </c>
    </row>
    <row r="273" spans="2:16">
      <c r="B273" t="s">
        <v>135</v>
      </c>
      <c r="H273" s="94">
        <v>0.36296029411764713</v>
      </c>
      <c r="J273" s="94">
        <v>0.35714566613377807</v>
      </c>
      <c r="L273" s="94">
        <v>0.31402285853565515</v>
      </c>
      <c r="N273" s="94">
        <v>0.30030027604869908</v>
      </c>
      <c r="P273" s="94">
        <v>0.28723803277405902</v>
      </c>
    </row>
    <row r="274" spans="2:16">
      <c r="B274" t="s">
        <v>47</v>
      </c>
      <c r="H274" s="94">
        <v>0.21144753370098041</v>
      </c>
      <c r="J274" s="94">
        <v>0.24266134157199062</v>
      </c>
      <c r="L274" s="94">
        <v>0.27322598413220106</v>
      </c>
      <c r="N274" s="94">
        <v>0.30514446951011326</v>
      </c>
      <c r="P274" s="94">
        <v>0.33760947271253977</v>
      </c>
    </row>
    <row r="275" spans="2:16">
      <c r="B275" t="s">
        <v>114</v>
      </c>
      <c r="H275" s="94">
        <v>0.15151276041666673</v>
      </c>
      <c r="J275" s="94">
        <v>0.11448432456178745</v>
      </c>
      <c r="L275" s="94">
        <v>4.0796874403454086E-2</v>
      </c>
      <c r="N275" s="94">
        <v>-4.8441934614141813E-3</v>
      </c>
      <c r="P275" s="94">
        <v>-5.0371439938480755E-2</v>
      </c>
    </row>
    <row r="276" spans="2:16">
      <c r="B276" t="s">
        <v>38</v>
      </c>
      <c r="H276" s="94">
        <v>5.1345784412675304</v>
      </c>
      <c r="J276" s="94">
        <v>6.3257370205854686</v>
      </c>
      <c r="L276" s="94">
        <v>7.7726186015401693</v>
      </c>
      <c r="N276" s="94">
        <v>9.3683611380673923</v>
      </c>
      <c r="P276" s="94">
        <v>11.148440668346561</v>
      </c>
    </row>
    <row r="277" spans="2:16">
      <c r="B277" t="s">
        <v>39</v>
      </c>
      <c r="H277" s="7">
        <v>472258.45999999996</v>
      </c>
      <c r="J277" s="7">
        <v>498958.44846666674</v>
      </c>
      <c r="L277" s="7">
        <v>558507.85466733342</v>
      </c>
      <c r="N277" s="7">
        <v>610424.8724865535</v>
      </c>
      <c r="P277" s="7">
        <v>661462.35895059234</v>
      </c>
    </row>
    <row r="278" spans="2:16">
      <c r="B278" t="s">
        <v>44</v>
      </c>
      <c r="H278" s="7">
        <v>472258.45999999996</v>
      </c>
      <c r="J278" s="7">
        <v>498958.44846666674</v>
      </c>
      <c r="L278" s="7">
        <v>558507.85466733342</v>
      </c>
      <c r="N278" s="7">
        <v>610424.8724865535</v>
      </c>
      <c r="P278" s="7">
        <v>661462.35895059234</v>
      </c>
    </row>
    <row r="279" spans="2:16">
      <c r="B279" t="s">
        <v>51</v>
      </c>
      <c r="H279" s="94">
        <v>0.95390503982843133</v>
      </c>
      <c r="J279" s="94">
        <v>0.98734890367194028</v>
      </c>
      <c r="L279" s="94">
        <v>1.0575793163737788</v>
      </c>
      <c r="N279" s="94">
        <v>1.099886024633701</v>
      </c>
      <c r="P279" s="94">
        <v>1.1421969348480077</v>
      </c>
    </row>
    <row r="281" spans="2:16" ht="6.75" customHeight="1">
      <c r="B281" s="32"/>
      <c r="C281" s="32"/>
      <c r="D281" s="32"/>
      <c r="E281" s="32"/>
      <c r="F281" s="32"/>
      <c r="G281" s="32"/>
      <c r="H281" s="25"/>
      <c r="I281" s="32"/>
      <c r="J281" s="25"/>
      <c r="K281" s="32"/>
      <c r="L281" s="25"/>
      <c r="M281" s="32"/>
      <c r="N281" s="25"/>
      <c r="O281" s="32"/>
      <c r="P281" s="25"/>
    </row>
    <row r="284" spans="2:16" ht="26">
      <c r="B284" s="5">
        <v>0</v>
      </c>
    </row>
    <row r="286" spans="2:16" ht="26">
      <c r="B286" s="5" t="s">
        <v>200</v>
      </c>
      <c r="N286" s="7" t="s">
        <v>284</v>
      </c>
      <c r="P286" s="7" t="s">
        <v>292</v>
      </c>
    </row>
    <row r="287" spans="2:16" ht="6.75" customHeight="1">
      <c r="B287" s="43"/>
      <c r="C287" s="32"/>
      <c r="D287" s="32"/>
      <c r="E287" s="32"/>
      <c r="F287" s="32"/>
      <c r="G287" s="32"/>
      <c r="H287" s="25"/>
      <c r="I287" s="32"/>
      <c r="J287" s="25"/>
      <c r="K287" s="32"/>
      <c r="L287" s="25"/>
      <c r="M287" s="32"/>
      <c r="N287" s="25"/>
      <c r="O287" s="32"/>
      <c r="P287" s="25"/>
    </row>
    <row r="288" spans="2:16" ht="17.25" customHeight="1">
      <c r="B288" s="5"/>
    </row>
    <row r="289" spans="2:16" ht="15" thickBot="1">
      <c r="H289" s="33"/>
      <c r="I289" s="34"/>
      <c r="J289" s="33"/>
      <c r="K289" s="34"/>
      <c r="L289" s="35" t="s">
        <v>59</v>
      </c>
      <c r="M289" s="34"/>
      <c r="N289" s="33"/>
      <c r="O289" s="34"/>
      <c r="P289" s="33"/>
    </row>
    <row r="290" spans="2:16">
      <c r="B290" s="6" t="s">
        <v>201</v>
      </c>
      <c r="H290" s="10">
        <v>43465</v>
      </c>
      <c r="I290" s="8"/>
      <c r="J290" s="10">
        <v>43830</v>
      </c>
      <c r="K290" s="8"/>
      <c r="L290" s="10">
        <v>44196</v>
      </c>
      <c r="M290" s="8"/>
      <c r="N290" s="10">
        <v>44561</v>
      </c>
      <c r="O290" s="8"/>
      <c r="P290" s="10">
        <v>44926</v>
      </c>
    </row>
    <row r="292" spans="2:16">
      <c r="C292" t="s">
        <v>281</v>
      </c>
      <c r="H292" s="7">
        <v>1623068.442</v>
      </c>
      <c r="J292" s="7">
        <v>2277830.8645666665</v>
      </c>
      <c r="L292" s="7">
        <v>3031306.2204623334</v>
      </c>
      <c r="N292" s="7">
        <v>3849426.8093053368</v>
      </c>
      <c r="P292" s="7">
        <v>4765488.3600545293</v>
      </c>
    </row>
    <row r="293" spans="2:16">
      <c r="C293" t="s">
        <v>165</v>
      </c>
      <c r="H293" s="7">
        <v>0</v>
      </c>
      <c r="J293" s="7">
        <v>0</v>
      </c>
      <c r="L293" s="7">
        <v>0</v>
      </c>
      <c r="N293" s="7">
        <v>0</v>
      </c>
      <c r="P293" s="7">
        <v>0</v>
      </c>
    </row>
    <row r="294" spans="2:16">
      <c r="C294" t="s">
        <v>202</v>
      </c>
      <c r="H294" s="7">
        <v>1725710</v>
      </c>
      <c r="J294" s="7">
        <v>1725710</v>
      </c>
      <c r="L294" s="7">
        <v>1725710</v>
      </c>
      <c r="N294" s="7">
        <v>1725710</v>
      </c>
      <c r="P294" s="7">
        <v>1725710</v>
      </c>
    </row>
    <row r="295" spans="2:16" ht="15" thickBot="1">
      <c r="C295" t="s">
        <v>203</v>
      </c>
      <c r="H295" s="54">
        <v>5000</v>
      </c>
      <c r="J295" s="54">
        <v>5000</v>
      </c>
      <c r="L295" s="54">
        <v>5000</v>
      </c>
      <c r="N295" s="54">
        <v>5000</v>
      </c>
      <c r="P295" s="54">
        <v>5000</v>
      </c>
    </row>
    <row r="296" spans="2:16" ht="15" thickTop="1"/>
    <row r="297" spans="2:16">
      <c r="C297" t="s">
        <v>166</v>
      </c>
      <c r="H297" s="7">
        <v>3353778.4419999998</v>
      </c>
      <c r="J297" s="7">
        <v>4008540.8645666665</v>
      </c>
      <c r="L297" s="7">
        <v>4762016.2204623334</v>
      </c>
      <c r="N297" s="7">
        <v>5580136.8093053363</v>
      </c>
      <c r="P297" s="7">
        <v>6496198.3600545293</v>
      </c>
    </row>
    <row r="299" spans="2:16">
      <c r="B299" s="6" t="s">
        <v>204</v>
      </c>
    </row>
    <row r="301" spans="2:16">
      <c r="C301" t="s">
        <v>205</v>
      </c>
      <c r="H301" s="7">
        <v>284530.63199999998</v>
      </c>
      <c r="J301" s="7">
        <v>234672.84133333329</v>
      </c>
      <c r="L301" s="7">
        <v>208308.73133333324</v>
      </c>
      <c r="N301" s="7">
        <v>245576.84999999989</v>
      </c>
      <c r="P301" s="7">
        <v>209719.05466666655</v>
      </c>
    </row>
    <row r="302" spans="2:16" ht="15" thickBot="1">
      <c r="C302" t="s">
        <v>206</v>
      </c>
      <c r="H302" s="54">
        <v>420078</v>
      </c>
      <c r="J302" s="54">
        <v>420078</v>
      </c>
      <c r="L302" s="54">
        <v>420078</v>
      </c>
      <c r="N302" s="54">
        <v>420078</v>
      </c>
      <c r="P302" s="54">
        <v>420078</v>
      </c>
    </row>
    <row r="303" spans="2:16" ht="15" thickTop="1"/>
    <row r="304" spans="2:16">
      <c r="C304" t="s">
        <v>167</v>
      </c>
      <c r="H304" s="7">
        <v>704608.63199999998</v>
      </c>
      <c r="J304" s="7">
        <v>654750.84133333329</v>
      </c>
      <c r="L304" s="7">
        <v>628386.7313333333</v>
      </c>
      <c r="N304" s="7">
        <v>665654.84999999986</v>
      </c>
      <c r="P304" s="7">
        <v>629797.05466666655</v>
      </c>
    </row>
    <row r="306" spans="2:16">
      <c r="B306" s="6" t="s">
        <v>169</v>
      </c>
      <c r="H306" s="7">
        <v>2649169.8099999996</v>
      </c>
      <c r="J306" s="7">
        <v>3353790.0232333331</v>
      </c>
      <c r="L306" s="7">
        <v>4133629.4891290003</v>
      </c>
      <c r="N306" s="7">
        <v>4914481.9593053367</v>
      </c>
      <c r="P306" s="7">
        <v>5866401.305387863</v>
      </c>
    </row>
    <row r="307" spans="2:16">
      <c r="B307" s="6"/>
    </row>
    <row r="308" spans="2:16" ht="6.75" customHeight="1">
      <c r="B308" s="32"/>
      <c r="C308" s="32"/>
      <c r="D308" s="32"/>
      <c r="E308" s="32"/>
      <c r="F308" s="32"/>
      <c r="G308" s="32"/>
      <c r="H308" s="25"/>
      <c r="I308" s="32"/>
      <c r="J308" s="25"/>
      <c r="K308" s="32"/>
      <c r="L308" s="25"/>
      <c r="M308" s="32"/>
      <c r="N308" s="25"/>
      <c r="O308" s="32"/>
      <c r="P308" s="25"/>
    </row>
    <row r="309" spans="2:16" ht="26">
      <c r="B309" s="23" t="s">
        <v>53</v>
      </c>
      <c r="G309" s="5"/>
      <c r="H309"/>
      <c r="J309"/>
      <c r="L309"/>
      <c r="N309" t="s">
        <v>284</v>
      </c>
      <c r="P309" t="s">
        <v>292</v>
      </c>
    </row>
    <row r="310" spans="2:16" ht="15.75" customHeight="1">
      <c r="B310" s="5"/>
    </row>
    <row r="311" spans="2:16" ht="15" thickBot="1">
      <c r="H311" s="33"/>
      <c r="I311" s="34"/>
      <c r="J311" s="33"/>
      <c r="K311" s="34"/>
      <c r="L311" s="35" t="s">
        <v>59</v>
      </c>
      <c r="M311" s="34"/>
      <c r="N311" s="33"/>
      <c r="O311" s="34"/>
      <c r="P311" s="33"/>
    </row>
    <row r="312" spans="2:16">
      <c r="B312" s="22" t="s">
        <v>74</v>
      </c>
      <c r="H312" s="10">
        <v>43465</v>
      </c>
      <c r="I312" s="8"/>
      <c r="J312" s="10">
        <v>43830</v>
      </c>
      <c r="K312" s="8"/>
      <c r="L312" s="10">
        <v>44196</v>
      </c>
      <c r="M312" s="8"/>
      <c r="N312" s="10">
        <v>44561</v>
      </c>
      <c r="O312" s="8"/>
      <c r="P312" s="10">
        <v>44926</v>
      </c>
    </row>
    <row r="313" spans="2:16">
      <c r="H313"/>
      <c r="J313"/>
      <c r="L313"/>
      <c r="N313"/>
      <c r="P313"/>
    </row>
    <row r="314" spans="2:16">
      <c r="B314" t="s">
        <v>115</v>
      </c>
      <c r="H314" s="94">
        <v>0.24641681991687808</v>
      </c>
      <c r="J314" s="94">
        <v>0.20710276886397552</v>
      </c>
      <c r="L314" s="94">
        <v>0.17878531947373977</v>
      </c>
      <c r="N314" s="94">
        <v>0.1600026901135167</v>
      </c>
      <c r="P314" s="94">
        <v>0.14261817966851295</v>
      </c>
    </row>
    <row r="315" spans="2:16">
      <c r="B315" t="s">
        <v>116</v>
      </c>
      <c r="H315" s="94">
        <v>0.24641681991687808</v>
      </c>
      <c r="J315" s="94">
        <v>0.20710276886397552</v>
      </c>
      <c r="L315" s="94">
        <v>0.17878531947373977</v>
      </c>
      <c r="N315" s="94">
        <v>0.1600026901135167</v>
      </c>
      <c r="P315" s="94">
        <v>0.14261817966851295</v>
      </c>
    </row>
    <row r="316" spans="2:16">
      <c r="B316" t="s">
        <v>242</v>
      </c>
      <c r="H316" s="94">
        <v>3.7747674619619802E-2</v>
      </c>
      <c r="J316" s="94">
        <v>2.9817012784715623E-2</v>
      </c>
      <c r="L316" s="94">
        <v>2.4191815029138246E-2</v>
      </c>
      <c r="N316" s="94">
        <v>2.034802463984119E-2</v>
      </c>
      <c r="P316" s="94">
        <v>1.7046225580946411E-2</v>
      </c>
    </row>
    <row r="317" spans="2:16">
      <c r="B317" t="s">
        <v>48</v>
      </c>
      <c r="H317" s="94">
        <v>8.2496070119512543E-2</v>
      </c>
      <c r="J317" s="94">
        <v>5.9936169738092328E-2</v>
      </c>
      <c r="L317" s="94">
        <v>3.7287812067177843E-2</v>
      </c>
      <c r="N317" s="94">
        <v>3.4115801608663995E-2</v>
      </c>
      <c r="P317" s="94">
        <v>2.5710788222048662E-2</v>
      </c>
    </row>
    <row r="318" spans="2:16">
      <c r="B318" t="s">
        <v>207</v>
      </c>
      <c r="H318" s="97">
        <v>7465</v>
      </c>
      <c r="J318" s="7">
        <v>41779.20000000007</v>
      </c>
      <c r="L318" s="7">
        <v>44453.068800000008</v>
      </c>
      <c r="N318" s="7">
        <v>47298.065203200094</v>
      </c>
      <c r="P318" s="7">
        <v>50325.141376204905</v>
      </c>
    </row>
    <row r="319" spans="2:16">
      <c r="B319" t="s">
        <v>118</v>
      </c>
      <c r="H319" s="97">
        <v>553421.80999999959</v>
      </c>
      <c r="J319" s="7">
        <v>704620.21323333355</v>
      </c>
      <c r="L319" s="7">
        <v>779839.46589566721</v>
      </c>
      <c r="N319" s="7">
        <v>780852.47017633636</v>
      </c>
      <c r="P319" s="7">
        <v>951919.34608252626</v>
      </c>
    </row>
    <row r="320" spans="2:16">
      <c r="B320" t="s">
        <v>119</v>
      </c>
      <c r="H320" s="94">
        <v>1.3097549228073073E-2</v>
      </c>
      <c r="J320" s="94">
        <v>-1.8820156593384516E-2</v>
      </c>
      <c r="L320" s="94">
        <v>-7.860990049276503E-3</v>
      </c>
      <c r="N320" s="94">
        <v>9.0158343326797383E-3</v>
      </c>
      <c r="P320" s="94">
        <v>-7.2963530297304926E-3</v>
      </c>
    </row>
    <row r="321" spans="2:16">
      <c r="B321" t="s">
        <v>280</v>
      </c>
      <c r="H321" s="94">
        <v>5.2104228833862495E-2</v>
      </c>
      <c r="J321" s="94">
        <v>4.9925284809147034E-2</v>
      </c>
      <c r="L321" s="94">
        <v>4.8426460028596512E-2</v>
      </c>
      <c r="N321" s="94">
        <v>4.8397941633045893E-2</v>
      </c>
      <c r="P321" s="94">
        <v>4.7517519848028288E-2</v>
      </c>
    </row>
    <row r="322" spans="2:16">
      <c r="B322" t="s">
        <v>124</v>
      </c>
      <c r="H322" s="94">
        <v>0</v>
      </c>
      <c r="J322" s="94">
        <v>0</v>
      </c>
      <c r="L322" s="94">
        <v>0</v>
      </c>
      <c r="N322" s="94">
        <v>0</v>
      </c>
      <c r="P322" s="94">
        <v>0</v>
      </c>
    </row>
    <row r="323" spans="2:16">
      <c r="B323" t="s">
        <v>127</v>
      </c>
      <c r="H323" s="94">
        <v>1.3097549228073073E-2</v>
      </c>
      <c r="J323" s="94">
        <v>-1.8820156593384516E-2</v>
      </c>
      <c r="L323" s="94">
        <v>-7.860990049276503E-3</v>
      </c>
      <c r="N323" s="94">
        <v>9.0158343326797383E-3</v>
      </c>
      <c r="P323" s="94">
        <v>-7.2963530297304926E-3</v>
      </c>
    </row>
    <row r="324" spans="2:16">
      <c r="B324" t="s">
        <v>128</v>
      </c>
      <c r="H324" s="94">
        <v>0.43412133078735565</v>
      </c>
      <c r="J324" s="94">
        <v>0.28744488957387659</v>
      </c>
      <c r="L324" s="94">
        <v>0.20729899443728653</v>
      </c>
      <c r="N324" s="94">
        <v>0.17292310854979553</v>
      </c>
      <c r="P324" s="94">
        <v>0.13215792529172396</v>
      </c>
    </row>
    <row r="325" spans="2:16">
      <c r="B325" t="s">
        <v>73</v>
      </c>
      <c r="H325" s="94">
        <v>0.2582634803921568</v>
      </c>
      <c r="J325" s="94">
        <v>0.12477578750798558</v>
      </c>
      <c r="L325" s="94">
        <v>0.11727047698118943</v>
      </c>
      <c r="N325" s="94">
        <v>0.21440658297090931</v>
      </c>
      <c r="P325" s="94">
        <v>0.10358704295500509</v>
      </c>
    </row>
    <row r="326" spans="2:16">
      <c r="B326" t="s">
        <v>132</v>
      </c>
      <c r="H326" s="94">
        <v>0.10541780024509805</v>
      </c>
      <c r="J326" s="94">
        <v>0.1018332282337277</v>
      </c>
      <c r="L326" s="94">
        <v>9.8376190777232822E-2</v>
      </c>
      <c r="N326" s="94">
        <v>9.5041831172286775E-2</v>
      </c>
      <c r="P326" s="94">
        <v>9.1825494909526961E-2</v>
      </c>
    </row>
    <row r="327" spans="2:16">
      <c r="B327" t="s">
        <v>134</v>
      </c>
      <c r="H327" s="94">
        <v>0</v>
      </c>
      <c r="J327" s="94">
        <v>0</v>
      </c>
      <c r="L327" s="94">
        <v>0</v>
      </c>
      <c r="N327" s="94">
        <v>0</v>
      </c>
      <c r="P327" s="94">
        <v>0</v>
      </c>
    </row>
    <row r="328" spans="2:16">
      <c r="B328" t="s">
        <v>135</v>
      </c>
      <c r="H328" s="94">
        <v>0.46909908088235291</v>
      </c>
      <c r="J328" s="94">
        <v>0.32844224397544097</v>
      </c>
      <c r="L328" s="94">
        <v>0.31402285853565509</v>
      </c>
      <c r="N328" s="94">
        <v>0.40449024531548283</v>
      </c>
      <c r="P328" s="94">
        <v>0.28723803277405902</v>
      </c>
    </row>
    <row r="329" spans="2:16">
      <c r="B329" t="s">
        <v>47</v>
      </c>
      <c r="H329" s="94">
        <v>0.21144753370098041</v>
      </c>
      <c r="J329" s="94">
        <v>0.24106526959056646</v>
      </c>
      <c r="L329" s="94">
        <v>0.27086373853927898</v>
      </c>
      <c r="N329" s="94">
        <v>0.30248204951247459</v>
      </c>
      <c r="P329" s="94">
        <v>0.33317996316088971</v>
      </c>
    </row>
    <row r="330" spans="2:16">
      <c r="B330" t="s">
        <v>114</v>
      </c>
      <c r="H330" s="94">
        <v>0.25765154718137251</v>
      </c>
      <c r="J330" s="94">
        <v>8.7376974384874517E-2</v>
      </c>
      <c r="L330" s="94">
        <v>4.3159119996376116E-2</v>
      </c>
      <c r="N330" s="94">
        <v>0.10200819580300824</v>
      </c>
      <c r="P330" s="94">
        <v>-4.5941930386830698E-2</v>
      </c>
    </row>
    <row r="331" spans="2:16">
      <c r="B331" t="s">
        <v>38</v>
      </c>
      <c r="H331" s="94">
        <v>4.7597748447680104</v>
      </c>
      <c r="J331" s="94">
        <v>6.1222385852970911</v>
      </c>
      <c r="L331" s="94">
        <v>7.5781616367966871</v>
      </c>
      <c r="N331" s="94">
        <v>8.3829281936507147</v>
      </c>
      <c r="P331" s="94">
        <v>10.314748714556597</v>
      </c>
    </row>
    <row r="332" spans="2:16">
      <c r="B332" t="s">
        <v>39</v>
      </c>
      <c r="H332" s="7">
        <v>450086.49200000003</v>
      </c>
      <c r="J332" s="7">
        <v>487323.50046666677</v>
      </c>
      <c r="L332" s="7">
        <v>553298.3126673334</v>
      </c>
      <c r="N332" s="7">
        <v>580269.7778198868</v>
      </c>
      <c r="P332" s="7">
        <v>637304.71028392576</v>
      </c>
    </row>
    <row r="333" spans="2:16">
      <c r="B333" t="s">
        <v>44</v>
      </c>
      <c r="H333" s="7">
        <v>450086.49200000003</v>
      </c>
      <c r="J333" s="7">
        <v>487323.50046666677</v>
      </c>
      <c r="L333" s="7">
        <v>553298.3126673334</v>
      </c>
      <c r="N333" s="7">
        <v>580269.7778198868</v>
      </c>
      <c r="P333" s="7">
        <v>637304.71028392576</v>
      </c>
    </row>
    <row r="334" spans="2:16">
      <c r="B334" t="s">
        <v>51</v>
      </c>
      <c r="H334" s="94">
        <v>0.84776625306372555</v>
      </c>
      <c r="J334" s="94">
        <v>1.0144562538488531</v>
      </c>
      <c r="L334" s="94">
        <v>1.0552170707808566</v>
      </c>
      <c r="N334" s="94">
        <v>0.99303363536927847</v>
      </c>
      <c r="P334" s="94">
        <v>1.1377674252963577</v>
      </c>
    </row>
    <row r="336" spans="2:16" ht="6.75" customHeight="1">
      <c r="B336" s="32"/>
      <c r="C336" s="32"/>
      <c r="D336" s="32"/>
      <c r="E336" s="32"/>
      <c r="F336" s="32"/>
      <c r="G336" s="32"/>
      <c r="H336" s="25"/>
      <c r="I336" s="32"/>
      <c r="J336" s="25"/>
      <c r="K336" s="32"/>
      <c r="L336" s="25"/>
      <c r="M336" s="32"/>
      <c r="N336" s="25"/>
      <c r="O336" s="32"/>
      <c r="P336" s="25"/>
    </row>
    <row r="339" spans="2:16" ht="26">
      <c r="B339" s="5">
        <v>0</v>
      </c>
    </row>
    <row r="341" spans="2:16" ht="26">
      <c r="B341" s="5" t="s">
        <v>200</v>
      </c>
      <c r="N341" s="7" t="s">
        <v>284</v>
      </c>
      <c r="P341" s="7" t="s">
        <v>294</v>
      </c>
    </row>
    <row r="342" spans="2:16" ht="6.75" customHeight="1">
      <c r="B342" s="43"/>
      <c r="C342" s="32"/>
      <c r="D342" s="32"/>
      <c r="E342" s="32"/>
      <c r="F342" s="32"/>
      <c r="G342" s="32"/>
      <c r="H342" s="25"/>
      <c r="I342" s="32"/>
      <c r="J342" s="25"/>
      <c r="K342" s="32"/>
      <c r="L342" s="25"/>
      <c r="M342" s="32"/>
      <c r="N342" s="25"/>
      <c r="O342" s="32"/>
      <c r="P342" s="25"/>
    </row>
    <row r="343" spans="2:16" ht="17.25" customHeight="1">
      <c r="B343" s="5"/>
    </row>
    <row r="344" spans="2:16" ht="15" thickBot="1">
      <c r="H344" s="33"/>
      <c r="I344" s="34"/>
      <c r="J344" s="33"/>
      <c r="K344" s="34"/>
      <c r="L344" s="35" t="s">
        <v>59</v>
      </c>
      <c r="M344" s="34"/>
      <c r="N344" s="33"/>
      <c r="O344" s="34"/>
      <c r="P344" s="33"/>
    </row>
    <row r="345" spans="2:16">
      <c r="B345" s="6" t="s">
        <v>201</v>
      </c>
      <c r="H345" s="10">
        <v>43465</v>
      </c>
      <c r="I345" s="8"/>
      <c r="J345" s="10">
        <v>43830</v>
      </c>
      <c r="K345" s="8"/>
      <c r="L345" s="10">
        <v>44196</v>
      </c>
      <c r="M345" s="8"/>
      <c r="N345" s="10">
        <v>44561</v>
      </c>
      <c r="O345" s="8"/>
      <c r="P345" s="10">
        <v>44926</v>
      </c>
    </row>
    <row r="347" spans="2:16">
      <c r="C347" t="s">
        <v>281</v>
      </c>
      <c r="H347" s="7">
        <v>1638191.9833333334</v>
      </c>
      <c r="J347" s="7">
        <v>2294905.1269666664</v>
      </c>
      <c r="L347" s="7">
        <v>3036216.6893156664</v>
      </c>
      <c r="N347" s="7">
        <v>3860219.1162680034</v>
      </c>
      <c r="P347" s="7">
        <v>4772656.4343653293</v>
      </c>
    </row>
    <row r="348" spans="2:16">
      <c r="C348" t="s">
        <v>165</v>
      </c>
      <c r="H348" s="7">
        <v>0</v>
      </c>
      <c r="J348" s="7">
        <v>0</v>
      </c>
      <c r="L348" s="7">
        <v>0</v>
      </c>
      <c r="N348" s="7">
        <v>0</v>
      </c>
      <c r="P348" s="7">
        <v>0</v>
      </c>
    </row>
    <row r="349" spans="2:16">
      <c r="C349" t="s">
        <v>202</v>
      </c>
      <c r="H349" s="7">
        <v>1725710</v>
      </c>
      <c r="J349" s="7">
        <v>1725710</v>
      </c>
      <c r="L349" s="7">
        <v>1725710</v>
      </c>
      <c r="N349" s="7">
        <v>1725710</v>
      </c>
      <c r="P349" s="7">
        <v>1725710</v>
      </c>
    </row>
    <row r="350" spans="2:16" ht="15" thickBot="1">
      <c r="C350" t="s">
        <v>203</v>
      </c>
      <c r="H350" s="54">
        <v>5000</v>
      </c>
      <c r="J350" s="54">
        <v>5000</v>
      </c>
      <c r="L350" s="54">
        <v>5000</v>
      </c>
      <c r="N350" s="54">
        <v>5000</v>
      </c>
      <c r="P350" s="54">
        <v>5000</v>
      </c>
    </row>
    <row r="351" spans="2:16" ht="15" thickTop="1"/>
    <row r="352" spans="2:16">
      <c r="C352" t="s">
        <v>166</v>
      </c>
      <c r="H352" s="7">
        <v>3368901.9833333334</v>
      </c>
      <c r="J352" s="7">
        <v>4025615.1269666664</v>
      </c>
      <c r="L352" s="7">
        <v>4766926.6893156664</v>
      </c>
      <c r="N352" s="7">
        <v>5590929.1162680034</v>
      </c>
      <c r="P352" s="7">
        <v>6503366.4343653293</v>
      </c>
    </row>
    <row r="354" spans="2:16">
      <c r="B354" s="6" t="s">
        <v>204</v>
      </c>
    </row>
    <row r="356" spans="2:16">
      <c r="C356" t="s">
        <v>205</v>
      </c>
      <c r="H356" s="7">
        <v>252393.10666666663</v>
      </c>
      <c r="J356" s="7">
        <v>238396.52666666661</v>
      </c>
      <c r="L356" s="7">
        <v>233681.5766666666</v>
      </c>
      <c r="N356" s="7">
        <v>229324.94333333327</v>
      </c>
      <c r="P356" s="7">
        <v>223969.96666666662</v>
      </c>
    </row>
    <row r="357" spans="2:16" ht="15" thickBot="1">
      <c r="C357" t="s">
        <v>206</v>
      </c>
      <c r="H357" s="54">
        <v>420078</v>
      </c>
      <c r="J357" s="54">
        <v>420078</v>
      </c>
      <c r="L357" s="54">
        <v>420078</v>
      </c>
      <c r="N357" s="54">
        <v>420078</v>
      </c>
      <c r="P357" s="54">
        <v>420078</v>
      </c>
    </row>
    <row r="358" spans="2:16" ht="15" thickTop="1"/>
    <row r="359" spans="2:16">
      <c r="C359" t="s">
        <v>167</v>
      </c>
      <c r="H359" s="7">
        <v>672471.10666666669</v>
      </c>
      <c r="J359" s="7">
        <v>658474.52666666661</v>
      </c>
      <c r="L359" s="7">
        <v>653759.57666666666</v>
      </c>
      <c r="N359" s="7">
        <v>649402.94333333324</v>
      </c>
      <c r="P359" s="7">
        <v>644047.96666666656</v>
      </c>
    </row>
    <row r="361" spans="2:16">
      <c r="B361" s="6" t="s">
        <v>169</v>
      </c>
      <c r="H361" s="7">
        <v>2696430.8766666669</v>
      </c>
      <c r="J361" s="7">
        <v>3367140.6003</v>
      </c>
      <c r="L361" s="7">
        <v>4113167.1126489998</v>
      </c>
      <c r="N361" s="7">
        <v>4941526.17293467</v>
      </c>
      <c r="P361" s="7">
        <v>5859318.4676986625</v>
      </c>
    </row>
    <row r="362" spans="2:16">
      <c r="B362" s="6"/>
    </row>
    <row r="363" spans="2:16" ht="6.75" customHeight="1">
      <c r="B363" s="32"/>
      <c r="C363" s="32"/>
      <c r="D363" s="32"/>
      <c r="E363" s="32"/>
      <c r="F363" s="32"/>
      <c r="G363" s="32"/>
      <c r="H363" s="25"/>
      <c r="I363" s="32"/>
      <c r="J363" s="25"/>
      <c r="K363" s="32"/>
      <c r="L363" s="25"/>
      <c r="M363" s="32"/>
      <c r="N363" s="25"/>
      <c r="O363" s="32"/>
      <c r="P363" s="25"/>
    </row>
    <row r="364" spans="2:16" ht="26">
      <c r="B364" s="23" t="s">
        <v>53</v>
      </c>
      <c r="G364" s="5"/>
      <c r="H364"/>
      <c r="J364"/>
      <c r="L364"/>
      <c r="N364" t="s">
        <v>284</v>
      </c>
      <c r="P364" t="s">
        <v>294</v>
      </c>
    </row>
    <row r="365" spans="2:16" ht="15.75" customHeight="1">
      <c r="B365" s="5"/>
    </row>
    <row r="366" spans="2:16" ht="15" thickBot="1">
      <c r="H366" s="33"/>
      <c r="I366" s="34"/>
      <c r="J366" s="33"/>
      <c r="K366" s="34"/>
      <c r="L366" s="35" t="s">
        <v>59</v>
      </c>
      <c r="M366" s="34"/>
      <c r="N366" s="33"/>
      <c r="O366" s="34"/>
      <c r="P366" s="33"/>
    </row>
    <row r="367" spans="2:16">
      <c r="B367" s="22" t="s">
        <v>74</v>
      </c>
      <c r="H367" s="10">
        <v>43465</v>
      </c>
      <c r="I367" s="8"/>
      <c r="J367" s="10">
        <v>43830</v>
      </c>
      <c r="K367" s="8"/>
      <c r="L367" s="10">
        <v>44196</v>
      </c>
      <c r="M367" s="8"/>
      <c r="N367" s="10">
        <v>44561</v>
      </c>
      <c r="O367" s="8"/>
      <c r="P367" s="10">
        <v>44926</v>
      </c>
    </row>
    <row r="368" spans="2:16">
      <c r="H368"/>
      <c r="J368"/>
      <c r="L368"/>
      <c r="N368"/>
      <c r="P368"/>
    </row>
    <row r="369" spans="2:16">
      <c r="B369" t="s">
        <v>115</v>
      </c>
      <c r="H369" s="94">
        <v>0.24209780627011385</v>
      </c>
      <c r="J369" s="94">
        <v>0.20628161471431147</v>
      </c>
      <c r="L369" s="94">
        <v>0.17967474905828509</v>
      </c>
      <c r="N369" s="94">
        <v>0.15912701997007028</v>
      </c>
      <c r="P369" s="94">
        <v>0.14279057880054341</v>
      </c>
    </row>
    <row r="370" spans="2:16">
      <c r="B370" t="s">
        <v>116</v>
      </c>
      <c r="H370" s="94">
        <v>0.24209780627011385</v>
      </c>
      <c r="J370" s="94">
        <v>0.20628161471431147</v>
      </c>
      <c r="L370" s="94">
        <v>0.17967474905828509</v>
      </c>
      <c r="N370" s="94">
        <v>0.15912701997007028</v>
      </c>
      <c r="P370" s="94">
        <v>0.14279057880054341</v>
      </c>
    </row>
    <row r="371" spans="2:16">
      <c r="B371" t="s">
        <v>242</v>
      </c>
      <c r="H371" s="94">
        <v>9.2715152523787481E-2</v>
      </c>
      <c r="J371" s="94">
        <v>7.4246973820376233E-2</v>
      </c>
      <c r="L371" s="94">
        <v>6.0780414010213335E-2</v>
      </c>
      <c r="N371" s="94">
        <v>5.0591657567105465E-2</v>
      </c>
      <c r="P371" s="94">
        <v>4.2667078326294038E-2</v>
      </c>
    </row>
    <row r="372" spans="2:16">
      <c r="B372" t="s">
        <v>48</v>
      </c>
      <c r="H372" s="94">
        <v>7.2502629652106604E-2</v>
      </c>
      <c r="J372" s="94">
        <v>5.8969720248177822E-2</v>
      </c>
      <c r="L372" s="94">
        <v>4.1514916829517648E-2</v>
      </c>
      <c r="N372" s="94">
        <v>3.2560319215294092E-2</v>
      </c>
      <c r="P372" s="94">
        <v>2.6544611317040483E-2</v>
      </c>
    </row>
    <row r="373" spans="2:16">
      <c r="B373" t="s">
        <v>207</v>
      </c>
      <c r="H373" s="97">
        <v>7465</v>
      </c>
      <c r="J373" s="7">
        <v>41779.20000000007</v>
      </c>
      <c r="L373" s="7">
        <v>44453.068800000008</v>
      </c>
      <c r="N373" s="7">
        <v>47298.065203200094</v>
      </c>
      <c r="P373" s="7">
        <v>50325.141376204905</v>
      </c>
    </row>
    <row r="374" spans="2:16">
      <c r="B374" t="s">
        <v>118</v>
      </c>
      <c r="H374" s="97">
        <v>600682.87666666694</v>
      </c>
      <c r="J374" s="7">
        <v>670709.72363333311</v>
      </c>
      <c r="L374" s="7">
        <v>746026.51234899973</v>
      </c>
      <c r="N374" s="7">
        <v>828359.06028567022</v>
      </c>
      <c r="P374" s="7">
        <v>917792.29476399254</v>
      </c>
    </row>
    <row r="375" spans="2:16">
      <c r="B375" t="s">
        <v>119</v>
      </c>
      <c r="H375" s="94">
        <v>9.4944272030864703E-4</v>
      </c>
      <c r="J375" s="94">
        <v>-5.1907801980455789E-3</v>
      </c>
      <c r="L375" s="94">
        <v>-1.4002830768575351E-3</v>
      </c>
      <c r="N375" s="94">
        <v>-1.0591919107627826E-3</v>
      </c>
      <c r="P375" s="94">
        <v>-1.083668583199357E-3</v>
      </c>
    </row>
    <row r="376" spans="2:16">
      <c r="B376" t="s">
        <v>280</v>
      </c>
      <c r="H376" s="94">
        <v>5.1190984050233326E-2</v>
      </c>
      <c r="J376" s="94">
        <v>4.995190849817234E-2</v>
      </c>
      <c r="L376" s="94">
        <v>4.8874930398552091E-2</v>
      </c>
      <c r="N376" s="94">
        <v>4.818275288510368E-2</v>
      </c>
      <c r="P376" s="94">
        <v>4.7667055025786664E-2</v>
      </c>
    </row>
    <row r="377" spans="2:16">
      <c r="B377" t="s">
        <v>124</v>
      </c>
      <c r="H377" s="94">
        <v>0</v>
      </c>
      <c r="J377" s="94">
        <v>0</v>
      </c>
      <c r="L377" s="94">
        <v>0</v>
      </c>
      <c r="N377" s="94">
        <v>0</v>
      </c>
      <c r="P377" s="94">
        <v>0</v>
      </c>
    </row>
    <row r="378" spans="2:16">
      <c r="B378" t="s">
        <v>127</v>
      </c>
      <c r="H378" s="94">
        <v>9.4944272030864703E-4</v>
      </c>
      <c r="J378" s="94">
        <v>-5.1907801980455789E-3</v>
      </c>
      <c r="L378" s="94">
        <v>-1.4002830768575351E-3</v>
      </c>
      <c r="N378" s="94">
        <v>-1.0591919107627826E-3</v>
      </c>
      <c r="P378" s="94">
        <v>-1.083668583199357E-3</v>
      </c>
    </row>
    <row r="379" spans="2:16">
      <c r="B379" t="s">
        <v>128</v>
      </c>
      <c r="H379" s="94">
        <v>0.41049590860428153</v>
      </c>
      <c r="J379" s="94">
        <v>0.28692886643946697</v>
      </c>
      <c r="L379" s="94">
        <v>0.21532046081138487</v>
      </c>
      <c r="N379" s="94">
        <v>0.16822955479303603</v>
      </c>
      <c r="P379" s="94">
        <v>0.13494538639513709</v>
      </c>
    </row>
    <row r="380" spans="2:16">
      <c r="B380" t="s">
        <v>73</v>
      </c>
      <c r="H380" s="94">
        <v>0.18586601307189538</v>
      </c>
      <c r="J380" s="94">
        <v>0.17468610251117986</v>
      </c>
      <c r="L380" s="94">
        <v>0.1641786677736653</v>
      </c>
      <c r="N380" s="94">
        <v>0.15430325918577562</v>
      </c>
      <c r="P380" s="94">
        <v>0.14502186013700719</v>
      </c>
    </row>
    <row r="381" spans="2:16">
      <c r="B381" t="s">
        <v>132</v>
      </c>
      <c r="H381" s="94">
        <v>0.10541780024509805</v>
      </c>
      <c r="J381" s="94">
        <v>0.1018332282337277</v>
      </c>
      <c r="L381" s="94">
        <v>9.8376190777232822E-2</v>
      </c>
      <c r="N381" s="94">
        <v>9.5041831172286775E-2</v>
      </c>
      <c r="P381" s="94">
        <v>9.1825494909526961E-2</v>
      </c>
    </row>
    <row r="382" spans="2:16">
      <c r="B382" t="s">
        <v>134</v>
      </c>
      <c r="H382" s="94">
        <v>0</v>
      </c>
      <c r="J382" s="94">
        <v>0</v>
      </c>
      <c r="L382" s="94">
        <v>0</v>
      </c>
      <c r="N382" s="94">
        <v>0</v>
      </c>
      <c r="P382" s="94">
        <v>0</v>
      </c>
    </row>
    <row r="383" spans="2:16">
      <c r="B383" t="s">
        <v>135</v>
      </c>
      <c r="H383" s="94">
        <v>0.39670161356209149</v>
      </c>
      <c r="J383" s="94">
        <v>0.37835255897863523</v>
      </c>
      <c r="L383" s="94">
        <v>0.36093104932813092</v>
      </c>
      <c r="N383" s="94">
        <v>0.34438692153034917</v>
      </c>
      <c r="P383" s="94">
        <v>0.32867284995606111</v>
      </c>
    </row>
    <row r="384" spans="2:16">
      <c r="B384" t="s">
        <v>47</v>
      </c>
      <c r="H384" s="94">
        <v>0.21144753370098041</v>
      </c>
      <c r="J384" s="94">
        <v>0.24215395330966816</v>
      </c>
      <c r="L384" s="94">
        <v>0.27201891559451929</v>
      </c>
      <c r="N384" s="94">
        <v>0.30279428907904032</v>
      </c>
      <c r="P384" s="94">
        <v>0.33382493037142352</v>
      </c>
    </row>
    <row r="385" spans="2:16">
      <c r="B385" t="s">
        <v>114</v>
      </c>
      <c r="H385" s="94">
        <v>0.18525407986111109</v>
      </c>
      <c r="J385" s="94">
        <v>0.13619860566896708</v>
      </c>
      <c r="L385" s="94">
        <v>8.891213373361162E-2</v>
      </c>
      <c r="N385" s="94">
        <v>4.1592632451308842E-2</v>
      </c>
      <c r="P385" s="94">
        <v>-5.1520804153624145E-3</v>
      </c>
    </row>
    <row r="386" spans="2:16">
      <c r="B386" t="s">
        <v>38</v>
      </c>
      <c r="H386" s="94">
        <v>5.0097349163928389</v>
      </c>
      <c r="J386" s="94">
        <v>6.1135472428146276</v>
      </c>
      <c r="L386" s="94">
        <v>7.2915592512171887</v>
      </c>
      <c r="N386" s="94">
        <v>8.6093375055712134</v>
      </c>
      <c r="P386" s="94">
        <v>10.097642987717421</v>
      </c>
    </row>
    <row r="387" spans="2:16">
      <c r="B387" t="s">
        <v>39</v>
      </c>
      <c r="H387" s="7">
        <v>465210.03333333333</v>
      </c>
      <c r="J387" s="7">
        <v>488518.04446666676</v>
      </c>
      <c r="L387" s="7">
        <v>540280.80600066669</v>
      </c>
      <c r="N387" s="7">
        <v>585906.09248655348</v>
      </c>
      <c r="P387" s="7">
        <v>633140.86228392564</v>
      </c>
    </row>
    <row r="388" spans="2:16">
      <c r="B388" t="s">
        <v>44</v>
      </c>
      <c r="H388" s="7">
        <v>465210.03333333333</v>
      </c>
      <c r="J388" s="7">
        <v>488518.04446666676</v>
      </c>
      <c r="L388" s="7">
        <v>540280.80600066669</v>
      </c>
      <c r="N388" s="7">
        <v>585906.09248655348</v>
      </c>
      <c r="P388" s="7">
        <v>633140.86228392564</v>
      </c>
    </row>
    <row r="389" spans="2:16">
      <c r="B389" t="s">
        <v>51</v>
      </c>
      <c r="H389" s="94">
        <v>0.92016372038398697</v>
      </c>
      <c r="J389" s="94">
        <v>0.96563462256476051</v>
      </c>
      <c r="L389" s="94">
        <v>1.0094640570436211</v>
      </c>
      <c r="N389" s="94">
        <v>1.0534491987209778</v>
      </c>
      <c r="P389" s="94">
        <v>1.0969775753248894</v>
      </c>
    </row>
    <row r="391" spans="2:16" ht="6.75" customHeight="1">
      <c r="B391" s="32"/>
      <c r="C391" s="32"/>
      <c r="D391" s="32"/>
      <c r="E391" s="32"/>
      <c r="F391" s="32"/>
      <c r="G391" s="32"/>
      <c r="H391" s="25"/>
      <c r="I391" s="32"/>
      <c r="J391" s="25"/>
      <c r="K391" s="32"/>
      <c r="L391" s="25"/>
      <c r="M391" s="32"/>
      <c r="N391" s="25"/>
      <c r="O391" s="32"/>
      <c r="P391" s="25"/>
    </row>
    <row r="394" spans="2:16" ht="26">
      <c r="B394" s="5">
        <v>0</v>
      </c>
    </row>
    <row r="396" spans="2:16" ht="26">
      <c r="B396" s="5" t="s">
        <v>200</v>
      </c>
      <c r="N396" s="7" t="s">
        <v>284</v>
      </c>
      <c r="P396" s="7" t="s">
        <v>295</v>
      </c>
    </row>
    <row r="397" spans="2:16" ht="6.75" customHeight="1">
      <c r="B397" s="43"/>
      <c r="C397" s="32"/>
      <c r="D397" s="32"/>
      <c r="E397" s="32"/>
      <c r="F397" s="32"/>
      <c r="G397" s="32"/>
      <c r="H397" s="25"/>
      <c r="I397" s="32"/>
      <c r="J397" s="25"/>
      <c r="K397" s="32"/>
      <c r="L397" s="25"/>
      <c r="M397" s="32"/>
      <c r="N397" s="25"/>
      <c r="O397" s="32"/>
      <c r="P397" s="25"/>
    </row>
    <row r="398" spans="2:16" ht="17.25" customHeight="1">
      <c r="B398" s="5"/>
    </row>
    <row r="399" spans="2:16" ht="15" thickBot="1">
      <c r="H399" s="33"/>
      <c r="I399" s="34"/>
      <c r="J399" s="33"/>
      <c r="K399" s="34"/>
      <c r="L399" s="35" t="s">
        <v>59</v>
      </c>
      <c r="M399" s="34"/>
      <c r="N399" s="33"/>
      <c r="O399" s="34"/>
      <c r="P399" s="33"/>
    </row>
    <row r="400" spans="2:16">
      <c r="B400" s="6" t="s">
        <v>201</v>
      </c>
      <c r="H400" s="10">
        <v>43465</v>
      </c>
      <c r="I400" s="8"/>
      <c r="J400" s="10">
        <v>43830</v>
      </c>
      <c r="K400" s="8"/>
      <c r="L400" s="10">
        <v>44196</v>
      </c>
      <c r="M400" s="8"/>
      <c r="N400" s="10">
        <v>44561</v>
      </c>
      <c r="O400" s="8"/>
      <c r="P400" s="10">
        <v>44926</v>
      </c>
    </row>
    <row r="402" spans="2:16">
      <c r="C402" t="s">
        <v>281</v>
      </c>
      <c r="H402" s="7">
        <v>1635358.0249333335</v>
      </c>
      <c r="J402" s="7">
        <v>2286792.9210466668</v>
      </c>
      <c r="L402" s="7">
        <v>3021233.9054996669</v>
      </c>
      <c r="N402" s="7">
        <v>3837136.6136612035</v>
      </c>
      <c r="P402" s="7">
        <v>4740449.2986281887</v>
      </c>
    </row>
    <row r="403" spans="2:16">
      <c r="C403" t="s">
        <v>165</v>
      </c>
      <c r="H403" s="7">
        <v>0</v>
      </c>
      <c r="J403" s="7">
        <v>0</v>
      </c>
      <c r="L403" s="7">
        <v>0</v>
      </c>
      <c r="N403" s="7">
        <v>0</v>
      </c>
      <c r="P403" s="7">
        <v>0</v>
      </c>
    </row>
    <row r="404" spans="2:16">
      <c r="C404" t="s">
        <v>202</v>
      </c>
      <c r="H404" s="7">
        <v>1725710</v>
      </c>
      <c r="J404" s="7">
        <v>1725710</v>
      </c>
      <c r="L404" s="7">
        <v>1725710</v>
      </c>
      <c r="N404" s="7">
        <v>1725710</v>
      </c>
      <c r="P404" s="7">
        <v>1725710</v>
      </c>
    </row>
    <row r="405" spans="2:16" ht="15" thickBot="1">
      <c r="C405" t="s">
        <v>203</v>
      </c>
      <c r="H405" s="54">
        <v>5000</v>
      </c>
      <c r="J405" s="54">
        <v>5000</v>
      </c>
      <c r="L405" s="54">
        <v>5000</v>
      </c>
      <c r="N405" s="54">
        <v>5000</v>
      </c>
      <c r="P405" s="54">
        <v>5000</v>
      </c>
    </row>
    <row r="406" spans="2:16" ht="15" thickTop="1"/>
    <row r="407" spans="2:16">
      <c r="C407" t="s">
        <v>166</v>
      </c>
      <c r="H407" s="7">
        <v>3366068.0249333335</v>
      </c>
      <c r="J407" s="7">
        <v>4017502.9210466668</v>
      </c>
      <c r="L407" s="7">
        <v>4751943.9054996669</v>
      </c>
      <c r="N407" s="7">
        <v>5567846.6136612035</v>
      </c>
      <c r="P407" s="7">
        <v>6471159.2986281887</v>
      </c>
    </row>
    <row r="409" spans="2:16">
      <c r="B409" s="6" t="s">
        <v>204</v>
      </c>
    </row>
    <row r="411" spans="2:16">
      <c r="C411" t="s">
        <v>205</v>
      </c>
      <c r="H411" s="7">
        <v>258415.26826666665</v>
      </c>
      <c r="J411" s="7">
        <v>248138.25866666666</v>
      </c>
      <c r="L411" s="7">
        <v>245814.46106666667</v>
      </c>
      <c r="N411" s="7">
        <v>242963.36813333334</v>
      </c>
      <c r="P411" s="7">
        <v>238494.00346666665</v>
      </c>
    </row>
    <row r="412" spans="2:16" ht="15" thickBot="1">
      <c r="C412" t="s">
        <v>206</v>
      </c>
      <c r="H412" s="54">
        <v>420078</v>
      </c>
      <c r="J412" s="54">
        <v>420078</v>
      </c>
      <c r="L412" s="54">
        <v>420078</v>
      </c>
      <c r="N412" s="54">
        <v>420078</v>
      </c>
      <c r="P412" s="54">
        <v>420078</v>
      </c>
    </row>
    <row r="413" spans="2:16" ht="15" thickTop="1"/>
    <row r="414" spans="2:16">
      <c r="C414" t="s">
        <v>167</v>
      </c>
      <c r="H414" s="7">
        <v>678493.26826666668</v>
      </c>
      <c r="J414" s="7">
        <v>668216.25866666669</v>
      </c>
      <c r="L414" s="7">
        <v>665892.46106666664</v>
      </c>
      <c r="N414" s="7">
        <v>663041.36813333328</v>
      </c>
      <c r="P414" s="7">
        <v>658572.00346666668</v>
      </c>
    </row>
    <row r="416" spans="2:16">
      <c r="B416" s="6" t="s">
        <v>169</v>
      </c>
      <c r="H416" s="7">
        <v>2687574.7566666668</v>
      </c>
      <c r="J416" s="7">
        <v>3349286.6623800001</v>
      </c>
      <c r="L416" s="7">
        <v>4086051.4444330004</v>
      </c>
      <c r="N416" s="7">
        <v>4904805.24552787</v>
      </c>
      <c r="P416" s="7">
        <v>5812587.295161522</v>
      </c>
    </row>
    <row r="417" spans="2:16">
      <c r="B417" s="6"/>
    </row>
    <row r="418" spans="2:16" ht="6.75" customHeight="1">
      <c r="B418" s="32"/>
      <c r="C418" s="32"/>
      <c r="D418" s="32"/>
      <c r="E418" s="32"/>
      <c r="F418" s="32"/>
      <c r="G418" s="32"/>
      <c r="H418" s="25"/>
      <c r="I418" s="32"/>
      <c r="J418" s="25"/>
      <c r="K418" s="32"/>
      <c r="L418" s="25"/>
      <c r="M418" s="32"/>
      <c r="N418" s="25"/>
      <c r="O418" s="32"/>
      <c r="P418" s="25"/>
    </row>
    <row r="419" spans="2:16" ht="26">
      <c r="B419" s="23" t="s">
        <v>53</v>
      </c>
      <c r="G419" s="5"/>
      <c r="H419"/>
      <c r="J419"/>
      <c r="L419"/>
      <c r="N419" t="s">
        <v>284</v>
      </c>
      <c r="P419" t="s">
        <v>295</v>
      </c>
    </row>
    <row r="420" spans="2:16" ht="15.75" customHeight="1">
      <c r="B420" s="5"/>
    </row>
    <row r="421" spans="2:16" ht="15" thickBot="1">
      <c r="H421" s="33"/>
      <c r="I421" s="34"/>
      <c r="J421" s="33"/>
      <c r="K421" s="34"/>
      <c r="L421" s="35" t="s">
        <v>59</v>
      </c>
      <c r="M421" s="34"/>
      <c r="N421" s="33"/>
      <c r="O421" s="34"/>
      <c r="P421" s="33"/>
    </row>
    <row r="422" spans="2:16">
      <c r="B422" s="22" t="s">
        <v>74</v>
      </c>
      <c r="H422" s="10">
        <v>43465</v>
      </c>
      <c r="I422" s="8"/>
      <c r="J422" s="10">
        <v>43830</v>
      </c>
      <c r="K422" s="8"/>
      <c r="L422" s="10">
        <v>44196</v>
      </c>
      <c r="M422" s="8"/>
      <c r="N422" s="10">
        <v>44561</v>
      </c>
      <c r="O422" s="8"/>
      <c r="P422" s="10">
        <v>44926</v>
      </c>
    </row>
    <row r="423" spans="2:16">
      <c r="H423"/>
      <c r="J423"/>
      <c r="L423"/>
      <c r="N423"/>
      <c r="P423"/>
    </row>
    <row r="424" spans="2:16">
      <c r="B424" t="s">
        <v>115</v>
      </c>
      <c r="H424" s="94">
        <v>0.24289556909280241</v>
      </c>
      <c r="J424" s="94">
        <v>0.20738123368228883</v>
      </c>
      <c r="L424" s="94">
        <v>0.1808670984323722</v>
      </c>
      <c r="N424" s="94">
        <v>0.1603183601877291</v>
      </c>
      <c r="P424" s="94">
        <v>0.14393856520242693</v>
      </c>
    </row>
    <row r="425" spans="2:16">
      <c r="B425" t="s">
        <v>116</v>
      </c>
      <c r="H425" s="94">
        <v>0.24289556909280241</v>
      </c>
      <c r="J425" s="94">
        <v>0.20738123368228883</v>
      </c>
      <c r="L425" s="94">
        <v>0.1808670984323722</v>
      </c>
      <c r="N425" s="94">
        <v>0.1603183601877291</v>
      </c>
      <c r="P425" s="94">
        <v>0.14393856520242693</v>
      </c>
    </row>
    <row r="426" spans="2:16">
      <c r="B426" t="s">
        <v>242</v>
      </c>
      <c r="H426" s="94">
        <v>9.3020668310662691E-2</v>
      </c>
      <c r="J426" s="94">
        <v>7.4642759847361115E-2</v>
      </c>
      <c r="L426" s="94">
        <v>6.1183762221253962E-2</v>
      </c>
      <c r="N426" s="94">
        <v>5.0970423387951304E-2</v>
      </c>
      <c r="P426" s="94">
        <v>4.3010106739920013E-2</v>
      </c>
    </row>
    <row r="427" spans="2:16">
      <c r="B427" t="s">
        <v>48</v>
      </c>
      <c r="H427" s="94">
        <v>7.4361199940682132E-2</v>
      </c>
      <c r="J427" s="94">
        <v>6.1425090851270313E-2</v>
      </c>
      <c r="L427" s="94">
        <v>4.3860639420242972E-2</v>
      </c>
      <c r="N427" s="94">
        <v>3.4671829455591378E-2</v>
      </c>
      <c r="P427" s="94">
        <v>2.8406340732083802E-2</v>
      </c>
    </row>
    <row r="428" spans="2:16">
      <c r="B428" t="s">
        <v>207</v>
      </c>
      <c r="H428" s="97">
        <v>7465</v>
      </c>
      <c r="J428" s="7">
        <v>41779.20000000007</v>
      </c>
      <c r="L428" s="7">
        <v>44453.068800000008</v>
      </c>
      <c r="N428" s="7">
        <v>47298.065203200094</v>
      </c>
      <c r="P428" s="7">
        <v>50325.141376204905</v>
      </c>
    </row>
    <row r="429" spans="2:16">
      <c r="B429" t="s">
        <v>118</v>
      </c>
      <c r="H429" s="97">
        <v>591826.75666666683</v>
      </c>
      <c r="J429" s="7">
        <v>661711.90571333328</v>
      </c>
      <c r="L429" s="7">
        <v>736764.78205300029</v>
      </c>
      <c r="N429" s="7">
        <v>818753.80109486962</v>
      </c>
      <c r="P429" s="7">
        <v>907782.04963365197</v>
      </c>
    </row>
    <row r="430" spans="2:16">
      <c r="B430" t="s">
        <v>119</v>
      </c>
      <c r="H430" s="94">
        <v>3.1933133191468983E-3</v>
      </c>
      <c r="J430" s="94">
        <v>-3.8238972049083812E-3</v>
      </c>
      <c r="L430" s="94">
        <v>-6.938186647626938E-4</v>
      </c>
      <c r="N430" s="94">
        <v>-6.9776236841505659E-4</v>
      </c>
      <c r="P430" s="94">
        <v>-9.1122163734060427E-4</v>
      </c>
    </row>
    <row r="431" spans="2:16">
      <c r="B431" t="s">
        <v>280</v>
      </c>
      <c r="H431" s="94">
        <v>5.1359669031569154E-2</v>
      </c>
      <c r="J431" s="94">
        <v>5.0175878683148635E-2</v>
      </c>
      <c r="L431" s="94">
        <v>4.9100004926681248E-2</v>
      </c>
      <c r="N431" s="94">
        <v>4.839074813243463E-2</v>
      </c>
      <c r="P431" s="94">
        <v>4.7851725326274186E-2</v>
      </c>
    </row>
    <row r="432" spans="2:16">
      <c r="B432" t="s">
        <v>124</v>
      </c>
      <c r="H432" s="94">
        <v>0</v>
      </c>
      <c r="J432" s="94">
        <v>0</v>
      </c>
      <c r="L432" s="94">
        <v>0</v>
      </c>
      <c r="N432" s="94">
        <v>0</v>
      </c>
      <c r="P432" s="94">
        <v>0</v>
      </c>
    </row>
    <row r="433" spans="2:16">
      <c r="B433" t="s">
        <v>127</v>
      </c>
      <c r="H433" s="94">
        <v>3.1933133191468983E-3</v>
      </c>
      <c r="J433" s="94">
        <v>-3.8238972049083812E-3</v>
      </c>
      <c r="L433" s="94">
        <v>-6.938186647626938E-4</v>
      </c>
      <c r="N433" s="94">
        <v>-6.9776236841505659E-4</v>
      </c>
      <c r="P433" s="94">
        <v>-9.1122163734060427E-4</v>
      </c>
    </row>
    <row r="434" spans="2:16">
      <c r="B434" t="s">
        <v>128</v>
      </c>
      <c r="H434" s="94">
        <v>0.41488974152575914</v>
      </c>
      <c r="J434" s="94">
        <v>0.29220671995119857</v>
      </c>
      <c r="L434" s="94">
        <v>0.22040414012781906</v>
      </c>
      <c r="N434" s="94">
        <v>0.17279587225868731</v>
      </c>
      <c r="P434" s="94">
        <v>0.13892607261030027</v>
      </c>
    </row>
    <row r="435" spans="2:16">
      <c r="B435" t="s">
        <v>73</v>
      </c>
      <c r="H435" s="94">
        <v>0.19943237336601302</v>
      </c>
      <c r="J435" s="94">
        <v>0.18743644113347091</v>
      </c>
      <c r="L435" s="94">
        <v>0.17616206873446516</v>
      </c>
      <c r="N435" s="94">
        <v>0.16556585407374541</v>
      </c>
      <c r="P435" s="94">
        <v>0.1556070057084073</v>
      </c>
    </row>
    <row r="436" spans="2:16">
      <c r="B436" t="s">
        <v>132</v>
      </c>
      <c r="H436" s="94">
        <v>0.10541780024509805</v>
      </c>
      <c r="J436" s="94">
        <v>0.1018332282337277</v>
      </c>
      <c r="L436" s="94">
        <v>9.8376190777232822E-2</v>
      </c>
      <c r="N436" s="94">
        <v>9.5041831172286775E-2</v>
      </c>
      <c r="P436" s="94">
        <v>9.1825494909526961E-2</v>
      </c>
    </row>
    <row r="437" spans="2:16">
      <c r="B437" t="s">
        <v>134</v>
      </c>
      <c r="H437" s="94">
        <v>0</v>
      </c>
      <c r="J437" s="94">
        <v>0</v>
      </c>
      <c r="L437" s="94">
        <v>0</v>
      </c>
      <c r="N437" s="94">
        <v>0</v>
      </c>
      <c r="P437" s="94">
        <v>0</v>
      </c>
    </row>
    <row r="438" spans="2:16">
      <c r="B438" t="s">
        <v>135</v>
      </c>
      <c r="H438" s="94">
        <v>0.41026797385620911</v>
      </c>
      <c r="J438" s="94">
        <v>0.39110289760092631</v>
      </c>
      <c r="L438" s="94">
        <v>0.37291445028893078</v>
      </c>
      <c r="N438" s="94">
        <v>0.35564951641831893</v>
      </c>
      <c r="P438" s="94">
        <v>0.33925799552746122</v>
      </c>
    </row>
    <row r="439" spans="2:16">
      <c r="B439" t="s">
        <v>47</v>
      </c>
      <c r="H439" s="94">
        <v>0.21144753370098041</v>
      </c>
      <c r="J439" s="94">
        <v>0.24194994789171151</v>
      </c>
      <c r="L439" s="94">
        <v>0.27147007583051469</v>
      </c>
      <c r="N439" s="94">
        <v>0.30184158617746698</v>
      </c>
      <c r="P439" s="94">
        <v>0.33244547949313147</v>
      </c>
    </row>
    <row r="440" spans="2:16">
      <c r="B440" t="s">
        <v>114</v>
      </c>
      <c r="H440" s="94">
        <v>0.19882044015522871</v>
      </c>
      <c r="J440" s="94">
        <v>0.1491529497092148</v>
      </c>
      <c r="L440" s="94">
        <v>0.10144437445841609</v>
      </c>
      <c r="N440" s="94">
        <v>5.3807930240851953E-2</v>
      </c>
      <c r="P440" s="94">
        <v>6.8125160343297519E-3</v>
      </c>
    </row>
    <row r="441" spans="2:16">
      <c r="B441" t="s">
        <v>38</v>
      </c>
      <c r="H441" s="94">
        <v>4.9610927364578883</v>
      </c>
      <c r="J441" s="94">
        <v>6.0122795112214709</v>
      </c>
      <c r="L441" s="94">
        <v>7.136203190959268</v>
      </c>
      <c r="N441" s="94">
        <v>8.3974347322195229</v>
      </c>
      <c r="P441" s="94">
        <v>9.8260467565650522</v>
      </c>
    </row>
    <row r="442" spans="2:16">
      <c r="B442" t="s">
        <v>39</v>
      </c>
      <c r="H442" s="7">
        <v>462376.07493333332</v>
      </c>
      <c r="J442" s="7">
        <v>483381.49486666673</v>
      </c>
      <c r="L442" s="7">
        <v>533815.83840066672</v>
      </c>
      <c r="N442" s="7">
        <v>578555.51288655342</v>
      </c>
      <c r="P442" s="7">
        <v>625170.35428392573</v>
      </c>
    </row>
    <row r="443" spans="2:16">
      <c r="B443" t="s">
        <v>44</v>
      </c>
      <c r="H443" s="7">
        <v>462376.07493333332</v>
      </c>
      <c r="J443" s="7">
        <v>483381.49486666673</v>
      </c>
      <c r="L443" s="7">
        <v>533815.83840066672</v>
      </c>
      <c r="N443" s="7">
        <v>578555.51288655342</v>
      </c>
      <c r="P443" s="7">
        <v>625170.35428392573</v>
      </c>
    </row>
    <row r="444" spans="2:16">
      <c r="B444" t="s">
        <v>51</v>
      </c>
      <c r="H444" s="94">
        <v>0.90659736008986935</v>
      </c>
      <c r="J444" s="94">
        <v>0.95268027852451287</v>
      </c>
      <c r="L444" s="94">
        <v>0.99693181631881667</v>
      </c>
      <c r="N444" s="94">
        <v>1.0412339009314346</v>
      </c>
      <c r="P444" s="94">
        <v>1.0850129788751972</v>
      </c>
    </row>
    <row r="446" spans="2:16" ht="6.75" customHeight="1">
      <c r="B446" s="32"/>
      <c r="C446" s="32"/>
      <c r="D446" s="32"/>
      <c r="E446" s="32"/>
      <c r="F446" s="32"/>
      <c r="G446" s="32"/>
      <c r="H446" s="25"/>
      <c r="I446" s="32"/>
      <c r="J446" s="25"/>
      <c r="K446" s="32"/>
      <c r="L446" s="25"/>
      <c r="M446" s="32"/>
      <c r="N446" s="25"/>
      <c r="O446" s="32"/>
      <c r="P446" s="25"/>
    </row>
    <row r="449" spans="2:16" ht="26">
      <c r="B449" s="5">
        <v>0</v>
      </c>
    </row>
    <row r="451" spans="2:16" ht="26">
      <c r="B451" s="5" t="s">
        <v>200</v>
      </c>
      <c r="N451" s="7" t="s">
        <v>284</v>
      </c>
      <c r="P451" s="7" t="s">
        <v>296</v>
      </c>
    </row>
    <row r="452" spans="2:16" ht="6.75" customHeight="1">
      <c r="B452" s="43"/>
      <c r="C452" s="32"/>
      <c r="D452" s="32"/>
      <c r="E452" s="32"/>
      <c r="F452" s="32"/>
      <c r="G452" s="32"/>
      <c r="H452" s="25"/>
      <c r="I452" s="32"/>
      <c r="J452" s="25"/>
      <c r="K452" s="32"/>
      <c r="L452" s="25"/>
      <c r="M452" s="32"/>
      <c r="N452" s="25"/>
      <c r="O452" s="32"/>
      <c r="P452" s="25"/>
    </row>
    <row r="453" spans="2:16" ht="17.25" customHeight="1">
      <c r="B453" s="5"/>
    </row>
    <row r="454" spans="2:16" ht="15" thickBot="1">
      <c r="H454" s="33"/>
      <c r="I454" s="34"/>
      <c r="J454" s="33"/>
      <c r="K454" s="34"/>
      <c r="L454" s="35" t="s">
        <v>59</v>
      </c>
      <c r="M454" s="34"/>
      <c r="N454" s="33"/>
      <c r="O454" s="34"/>
      <c r="P454" s="33"/>
    </row>
    <row r="455" spans="2:16">
      <c r="B455" s="6" t="s">
        <v>201</v>
      </c>
      <c r="H455" s="10">
        <v>43465</v>
      </c>
      <c r="I455" s="8"/>
      <c r="J455" s="10">
        <v>43830</v>
      </c>
      <c r="K455" s="8"/>
      <c r="L455" s="10">
        <v>44196</v>
      </c>
      <c r="M455" s="8"/>
      <c r="N455" s="10">
        <v>44561</v>
      </c>
      <c r="O455" s="8"/>
      <c r="P455" s="10">
        <v>44926</v>
      </c>
    </row>
    <row r="457" spans="2:16">
      <c r="C457" t="s">
        <v>281</v>
      </c>
      <c r="H457" s="7">
        <v>1625337.2505333333</v>
      </c>
      <c r="J457" s="7">
        <v>2278979.3407266666</v>
      </c>
      <c r="L457" s="7">
        <v>3019666.0334970001</v>
      </c>
      <c r="N457" s="7">
        <v>3842324.6057917369</v>
      </c>
      <c r="P457" s="7">
        <v>4753096.076498583</v>
      </c>
    </row>
    <row r="458" spans="2:16">
      <c r="C458" t="s">
        <v>165</v>
      </c>
      <c r="H458" s="7">
        <v>0</v>
      </c>
      <c r="J458" s="7">
        <v>0</v>
      </c>
      <c r="L458" s="7">
        <v>0</v>
      </c>
      <c r="N458" s="7">
        <v>0</v>
      </c>
      <c r="P458" s="7">
        <v>0</v>
      </c>
    </row>
    <row r="459" spans="2:16">
      <c r="C459" t="s">
        <v>202</v>
      </c>
      <c r="H459" s="7">
        <v>1725710</v>
      </c>
      <c r="J459" s="7">
        <v>1725710</v>
      </c>
      <c r="L459" s="7">
        <v>1725710</v>
      </c>
      <c r="N459" s="7">
        <v>1725710</v>
      </c>
      <c r="P459" s="7">
        <v>1725710</v>
      </c>
    </row>
    <row r="460" spans="2:16" ht="15" thickBot="1">
      <c r="C460" t="s">
        <v>203</v>
      </c>
      <c r="H460" s="54">
        <v>5000</v>
      </c>
      <c r="J460" s="54">
        <v>5000</v>
      </c>
      <c r="L460" s="54">
        <v>5000</v>
      </c>
      <c r="N460" s="54">
        <v>5000</v>
      </c>
      <c r="P460" s="54">
        <v>5000</v>
      </c>
    </row>
    <row r="461" spans="2:16" ht="15" thickTop="1"/>
    <row r="462" spans="2:16">
      <c r="C462" t="s">
        <v>166</v>
      </c>
      <c r="H462" s="7">
        <v>3356047.250533333</v>
      </c>
      <c r="J462" s="7">
        <v>4009689.3407266666</v>
      </c>
      <c r="L462" s="7">
        <v>4750376.0334970001</v>
      </c>
      <c r="N462" s="7">
        <v>5573034.6057917364</v>
      </c>
      <c r="P462" s="7">
        <v>6483806.076498583</v>
      </c>
    </row>
    <row r="464" spans="2:16">
      <c r="B464" s="6" t="s">
        <v>204</v>
      </c>
    </row>
    <row r="466" spans="2:16">
      <c r="C466" t="s">
        <v>205</v>
      </c>
      <c r="H466" s="7">
        <v>279709.41386666661</v>
      </c>
      <c r="J466" s="7">
        <v>238234.03706666661</v>
      </c>
      <c r="L466" s="7">
        <v>234678.16013333329</v>
      </c>
      <c r="N466" s="7">
        <v>229805.2049333333</v>
      </c>
      <c r="P466" s="7">
        <v>224666.75973333331</v>
      </c>
    </row>
    <row r="467" spans="2:16" ht="15" thickBot="1">
      <c r="C467" t="s">
        <v>206</v>
      </c>
      <c r="H467" s="54">
        <v>420078</v>
      </c>
      <c r="J467" s="54">
        <v>420078</v>
      </c>
      <c r="L467" s="54">
        <v>420078</v>
      </c>
      <c r="N467" s="54">
        <v>420078</v>
      </c>
      <c r="P467" s="54">
        <v>420078</v>
      </c>
    </row>
    <row r="468" spans="2:16" ht="15" thickTop="1"/>
    <row r="469" spans="2:16">
      <c r="C469" t="s">
        <v>167</v>
      </c>
      <c r="H469" s="7">
        <v>699787.41386666661</v>
      </c>
      <c r="J469" s="7">
        <v>658312.03706666664</v>
      </c>
      <c r="L469" s="7">
        <v>654756.16013333329</v>
      </c>
      <c r="N469" s="7">
        <v>649883.20493333333</v>
      </c>
      <c r="P469" s="7">
        <v>644744.75973333325</v>
      </c>
    </row>
    <row r="471" spans="2:16">
      <c r="B471" s="6" t="s">
        <v>169</v>
      </c>
      <c r="H471" s="7">
        <v>2656259.8366666664</v>
      </c>
      <c r="J471" s="7">
        <v>3351377.3036599997</v>
      </c>
      <c r="L471" s="7">
        <v>4095619.8733636667</v>
      </c>
      <c r="N471" s="7">
        <v>4923151.4008584032</v>
      </c>
      <c r="P471" s="7">
        <v>5839061.3167652497</v>
      </c>
    </row>
    <row r="472" spans="2:16">
      <c r="B472" s="6"/>
    </row>
    <row r="473" spans="2:16" ht="6.75" customHeight="1">
      <c r="B473" s="32"/>
      <c r="C473" s="32"/>
      <c r="D473" s="32"/>
      <c r="E473" s="32"/>
      <c r="F473" s="32"/>
      <c r="G473" s="32"/>
      <c r="H473" s="25"/>
      <c r="I473" s="32"/>
      <c r="J473" s="25"/>
      <c r="K473" s="32"/>
      <c r="L473" s="25"/>
      <c r="M473" s="32"/>
      <c r="N473" s="25"/>
      <c r="O473" s="32"/>
      <c r="P473" s="25"/>
    </row>
    <row r="474" spans="2:16" ht="26">
      <c r="B474" s="23" t="s">
        <v>53</v>
      </c>
      <c r="G474" s="5"/>
      <c r="H474"/>
      <c r="J474"/>
      <c r="L474"/>
      <c r="N474" t="s">
        <v>284</v>
      </c>
      <c r="P474" t="s">
        <v>296</v>
      </c>
    </row>
    <row r="475" spans="2:16" ht="15.75" customHeight="1">
      <c r="B475" s="5"/>
    </row>
    <row r="476" spans="2:16" ht="15" thickBot="1">
      <c r="H476" s="33"/>
      <c r="I476" s="34"/>
      <c r="J476" s="33"/>
      <c r="K476" s="34"/>
      <c r="L476" s="35" t="s">
        <v>59</v>
      </c>
      <c r="M476" s="34"/>
      <c r="N476" s="33"/>
      <c r="O476" s="34"/>
      <c r="P476" s="33"/>
    </row>
    <row r="477" spans="2:16">
      <c r="B477" s="22" t="s">
        <v>74</v>
      </c>
      <c r="H477" s="10">
        <v>43465</v>
      </c>
      <c r="I477" s="8"/>
      <c r="J477" s="10">
        <v>43830</v>
      </c>
      <c r="K477" s="8"/>
      <c r="L477" s="10">
        <v>44196</v>
      </c>
      <c r="M477" s="8"/>
      <c r="N477" s="10">
        <v>44561</v>
      </c>
      <c r="O477" s="8"/>
      <c r="P477" s="10">
        <v>44926</v>
      </c>
    </row>
    <row r="478" spans="2:16">
      <c r="H478"/>
      <c r="J478"/>
      <c r="L478"/>
      <c r="N478"/>
      <c r="P478"/>
    </row>
    <row r="479" spans="2:16">
      <c r="B479" t="s">
        <v>115</v>
      </c>
      <c r="H479" s="94">
        <v>0.24575908990108325</v>
      </c>
      <c r="J479" s="94">
        <v>0.20725186604368845</v>
      </c>
      <c r="L479" s="94">
        <v>0.18044454603963156</v>
      </c>
      <c r="N479" s="94">
        <v>0.15972093278831426</v>
      </c>
      <c r="P479" s="94">
        <v>0.14328595470939487</v>
      </c>
    </row>
    <row r="480" spans="2:16">
      <c r="B480" t="s">
        <v>116</v>
      </c>
      <c r="H480" s="94">
        <v>0.24575908990108325</v>
      </c>
      <c r="J480" s="94">
        <v>0.20725186604368845</v>
      </c>
      <c r="L480" s="94">
        <v>0.18044454603963156</v>
      </c>
      <c r="N480" s="94">
        <v>0.15972093278831426</v>
      </c>
      <c r="P480" s="94">
        <v>0.14328595470939487</v>
      </c>
    </row>
    <row r="481" spans="2:16">
      <c r="B481" t="s">
        <v>242</v>
      </c>
      <c r="H481" s="94">
        <v>9.4117298522167298E-2</v>
      </c>
      <c r="J481" s="94">
        <v>7.4596196532983008E-2</v>
      </c>
      <c r="L481" s="94">
        <v>6.1040821104005195E-2</v>
      </c>
      <c r="N481" s="94">
        <v>5.0780481777669861E-2</v>
      </c>
      <c r="P481" s="94">
        <v>4.2815100996147125E-2</v>
      </c>
    </row>
    <row r="482" spans="2:16">
      <c r="B482" t="s">
        <v>48</v>
      </c>
      <c r="H482" s="94">
        <v>8.0985013678530199E-2</v>
      </c>
      <c r="J482" s="94">
        <v>6.0447336082216641E-2</v>
      </c>
      <c r="L482" s="94">
        <v>4.1685690471613218E-2</v>
      </c>
      <c r="N482" s="94">
        <v>3.2846336913621502E-2</v>
      </c>
      <c r="P482" s="94">
        <v>2.6816085729232927E-2</v>
      </c>
    </row>
    <row r="483" spans="2:16">
      <c r="B483" t="s">
        <v>207</v>
      </c>
      <c r="H483" s="97">
        <v>7465</v>
      </c>
      <c r="J483" s="7">
        <v>41779.20000000007</v>
      </c>
      <c r="L483" s="7">
        <v>44453.068800000008</v>
      </c>
      <c r="N483" s="7">
        <v>47298.065203200094</v>
      </c>
      <c r="P483" s="7">
        <v>50325.141376204905</v>
      </c>
    </row>
    <row r="484" spans="2:16">
      <c r="B484" t="s">
        <v>118</v>
      </c>
      <c r="H484" s="97">
        <v>560511.83666666644</v>
      </c>
      <c r="J484" s="7">
        <v>695117.46699333331</v>
      </c>
      <c r="L484" s="7">
        <v>744242.56970366696</v>
      </c>
      <c r="N484" s="7">
        <v>827531.52749473648</v>
      </c>
      <c r="P484" s="7">
        <v>915909.91590684652</v>
      </c>
    </row>
    <row r="485" spans="2:16">
      <c r="B485" t="s">
        <v>119</v>
      </c>
      <c r="H485" s="94">
        <v>1.124754945064352E-2</v>
      </c>
      <c r="J485" s="94">
        <v>-1.5614201678419887E-2</v>
      </c>
      <c r="L485" s="94">
        <v>-1.0610195782641324E-3</v>
      </c>
      <c r="N485" s="94">
        <v>-1.1897967464441267E-3</v>
      </c>
      <c r="P485" s="94">
        <v>-1.0437308913766182E-3</v>
      </c>
    </row>
    <row r="486" spans="2:16">
      <c r="B486" t="s">
        <v>280</v>
      </c>
      <c r="H486" s="94">
        <v>5.1965153444181574E-2</v>
      </c>
      <c r="J486" s="94">
        <v>4.999507585841937E-2</v>
      </c>
      <c r="L486" s="94">
        <v>4.8889905124882595E-2</v>
      </c>
      <c r="N486" s="94">
        <v>4.8194496239437147E-2</v>
      </c>
      <c r="P486" s="94">
        <v>4.7679192799403088E-2</v>
      </c>
    </row>
    <row r="487" spans="2:16">
      <c r="B487" t="s">
        <v>124</v>
      </c>
      <c r="H487" s="94">
        <v>0</v>
      </c>
      <c r="J487" s="94">
        <v>0</v>
      </c>
      <c r="L487" s="94">
        <v>0</v>
      </c>
      <c r="N487" s="94">
        <v>0</v>
      </c>
      <c r="P487" s="94">
        <v>0</v>
      </c>
    </row>
    <row r="488" spans="2:16">
      <c r="B488" t="s">
        <v>127</v>
      </c>
      <c r="H488" s="94">
        <v>1.124754945064352E-2</v>
      </c>
      <c r="J488" s="94">
        <v>-1.5614201678419887E-2</v>
      </c>
      <c r="L488" s="94">
        <v>-1.0610195782641324E-3</v>
      </c>
      <c r="N488" s="94">
        <v>-1.1897967464441267E-3</v>
      </c>
      <c r="P488" s="94">
        <v>-1.0437308913766182E-3</v>
      </c>
    </row>
    <row r="489" spans="2:16">
      <c r="B489" t="s">
        <v>128</v>
      </c>
      <c r="H489" s="94">
        <v>0.43054905290396839</v>
      </c>
      <c r="J489" s="94">
        <v>0.28886266114933706</v>
      </c>
      <c r="L489" s="94">
        <v>0.21683065374453891</v>
      </c>
      <c r="N489" s="94">
        <v>0.16913802752472562</v>
      </c>
      <c r="P489" s="94">
        <v>0.13564732320923148</v>
      </c>
    </row>
    <row r="490" spans="2:16">
      <c r="B490" t="s">
        <v>73</v>
      </c>
      <c r="H490" s="94">
        <v>0.24740253267973847</v>
      </c>
      <c r="J490" s="94">
        <v>0.13862040978672169</v>
      </c>
      <c r="L490" s="94">
        <v>0.16551508212934293</v>
      </c>
      <c r="N490" s="94">
        <v>0.15430325918577562</v>
      </c>
      <c r="P490" s="94">
        <v>0.14620233807852243</v>
      </c>
    </row>
    <row r="491" spans="2:16">
      <c r="B491" t="s">
        <v>132</v>
      </c>
      <c r="H491" s="94">
        <v>0.10541780024509805</v>
      </c>
      <c r="J491" s="94">
        <v>0.1018332282337277</v>
      </c>
      <c r="L491" s="94">
        <v>9.8376190777232822E-2</v>
      </c>
      <c r="N491" s="94">
        <v>9.5041831172286775E-2</v>
      </c>
      <c r="P491" s="94">
        <v>9.1825494909526961E-2</v>
      </c>
    </row>
    <row r="492" spans="2:16">
      <c r="B492" t="s">
        <v>134</v>
      </c>
      <c r="H492" s="94">
        <v>0</v>
      </c>
      <c r="J492" s="94">
        <v>0</v>
      </c>
      <c r="L492" s="94">
        <v>0</v>
      </c>
      <c r="N492" s="94">
        <v>0</v>
      </c>
      <c r="P492" s="94">
        <v>0</v>
      </c>
    </row>
    <row r="493" spans="2:16">
      <c r="B493" t="s">
        <v>135</v>
      </c>
      <c r="H493" s="94">
        <v>0.45823813316993456</v>
      </c>
      <c r="J493" s="94">
        <v>0.34228686625417709</v>
      </c>
      <c r="L493" s="94">
        <v>0.36226746368380858</v>
      </c>
      <c r="N493" s="94">
        <v>0.34438692153034917</v>
      </c>
      <c r="P493" s="94">
        <v>0.32985332789757638</v>
      </c>
    </row>
    <row r="494" spans="2:16">
      <c r="B494" t="s">
        <v>47</v>
      </c>
      <c r="H494" s="94">
        <v>0.21144753370098041</v>
      </c>
      <c r="J494" s="94">
        <v>0.2412285921125577</v>
      </c>
      <c r="L494" s="94">
        <v>0.27094143989336628</v>
      </c>
      <c r="N494" s="94">
        <v>0.30174189067197349</v>
      </c>
      <c r="P494" s="94">
        <v>0.33275552301063671</v>
      </c>
    </row>
    <row r="495" spans="2:16">
      <c r="B495" t="s">
        <v>114</v>
      </c>
      <c r="H495" s="94">
        <v>0.24679059946895415</v>
      </c>
      <c r="J495" s="94">
        <v>0.10105827414161939</v>
      </c>
      <c r="L495" s="94">
        <v>9.1326023790442301E-2</v>
      </c>
      <c r="N495" s="94">
        <v>4.2645030858375677E-2</v>
      </c>
      <c r="P495" s="94">
        <v>-2.9021951130603352E-3</v>
      </c>
    </row>
    <row r="496" spans="2:16">
      <c r="B496" t="s">
        <v>38</v>
      </c>
      <c r="H496" s="94">
        <v>4.7958096759550672</v>
      </c>
      <c r="J496" s="94">
        <v>6.0908643849096276</v>
      </c>
      <c r="L496" s="94">
        <v>7.2551834144326994</v>
      </c>
      <c r="N496" s="94">
        <v>8.5754402690917857</v>
      </c>
      <c r="P496" s="94">
        <v>10.05639205067799</v>
      </c>
    </row>
    <row r="497" spans="2:16">
      <c r="B497" t="s">
        <v>39</v>
      </c>
      <c r="H497" s="7">
        <v>452355.30053333333</v>
      </c>
      <c r="J497" s="7">
        <v>486089.72766666673</v>
      </c>
      <c r="L497" s="7">
        <v>540452.22573400009</v>
      </c>
      <c r="N497" s="7">
        <v>585389.77061988681</v>
      </c>
      <c r="P497" s="7">
        <v>632369.74041725905</v>
      </c>
    </row>
    <row r="498" spans="2:16">
      <c r="B498" t="s">
        <v>44</v>
      </c>
      <c r="H498" s="7">
        <v>452355.30053333333</v>
      </c>
      <c r="J498" s="7">
        <v>486089.72766666673</v>
      </c>
      <c r="L498" s="7">
        <v>540452.22573400009</v>
      </c>
      <c r="N498" s="7">
        <v>585389.77061988681</v>
      </c>
      <c r="P498" s="7">
        <v>632369.74041725905</v>
      </c>
    </row>
    <row r="499" spans="2:16">
      <c r="B499" t="s">
        <v>51</v>
      </c>
      <c r="H499" s="94">
        <v>0.85862720077614385</v>
      </c>
      <c r="J499" s="94">
        <v>1.0007749540921083</v>
      </c>
      <c r="L499" s="94">
        <v>1.0070501669867904</v>
      </c>
      <c r="N499" s="94">
        <v>1.052396800313911</v>
      </c>
      <c r="P499" s="94">
        <v>1.0947276900225873</v>
      </c>
    </row>
    <row r="501" spans="2:16" ht="6.75" customHeight="1">
      <c r="B501" s="32"/>
      <c r="C501" s="32"/>
      <c r="D501" s="32"/>
      <c r="E501" s="32"/>
      <c r="F501" s="32"/>
      <c r="G501" s="32"/>
      <c r="H501" s="25"/>
      <c r="I501" s="32"/>
      <c r="J501" s="25"/>
      <c r="K501" s="32"/>
      <c r="L501" s="25"/>
      <c r="M501" s="32"/>
      <c r="N501" s="25"/>
      <c r="O501" s="32"/>
      <c r="P501" s="25"/>
    </row>
    <row r="504" spans="2:16" ht="26">
      <c r="B504" s="5">
        <v>0</v>
      </c>
    </row>
    <row r="506" spans="2:16" ht="26">
      <c r="B506" s="5" t="s">
        <v>200</v>
      </c>
      <c r="N506" s="7" t="s">
        <v>284</v>
      </c>
      <c r="P506" s="7" t="s">
        <v>297</v>
      </c>
    </row>
    <row r="507" spans="2:16" ht="6.75" customHeight="1">
      <c r="B507" s="43"/>
      <c r="C507" s="32"/>
      <c r="D507" s="32"/>
      <c r="E507" s="32"/>
      <c r="F507" s="32"/>
      <c r="G507" s="32"/>
      <c r="H507" s="25"/>
      <c r="I507" s="32"/>
      <c r="J507" s="25"/>
      <c r="K507" s="32"/>
      <c r="L507" s="25"/>
      <c r="M507" s="32"/>
      <c r="N507" s="25"/>
      <c r="O507" s="32"/>
      <c r="P507" s="25"/>
    </row>
    <row r="508" spans="2:16" ht="17.25" customHeight="1">
      <c r="B508" s="5"/>
    </row>
    <row r="509" spans="2:16" ht="15" thickBot="1">
      <c r="H509" s="33"/>
      <c r="I509" s="34"/>
      <c r="J509" s="33"/>
      <c r="K509" s="34"/>
      <c r="L509" s="35" t="s">
        <v>59</v>
      </c>
      <c r="M509" s="34"/>
      <c r="N509" s="33"/>
      <c r="O509" s="34"/>
      <c r="P509" s="33"/>
    </row>
    <row r="510" spans="2:16">
      <c r="B510" s="6" t="s">
        <v>201</v>
      </c>
      <c r="H510" s="10">
        <v>43465</v>
      </c>
      <c r="I510" s="8"/>
      <c r="J510" s="10">
        <v>43830</v>
      </c>
      <c r="K510" s="8"/>
      <c r="L510" s="10">
        <v>44196</v>
      </c>
      <c r="M510" s="8"/>
      <c r="N510" s="10">
        <v>44561</v>
      </c>
      <c r="O510" s="8"/>
      <c r="P510" s="10">
        <v>44926</v>
      </c>
    </row>
    <row r="512" spans="2:16">
      <c r="C512" t="s">
        <v>281</v>
      </c>
      <c r="H512" s="7">
        <v>1632529.1140000001</v>
      </c>
      <c r="J512" s="7">
        <v>2275426.3464333336</v>
      </c>
      <c r="L512" s="7">
        <v>3005852.5045556668</v>
      </c>
      <c r="N512" s="7">
        <v>3822380.3476033369</v>
      </c>
      <c r="P512" s="7">
        <v>4728895.8226007624</v>
      </c>
    </row>
    <row r="513" spans="2:16">
      <c r="C513" t="s">
        <v>165</v>
      </c>
      <c r="H513" s="7">
        <v>0</v>
      </c>
      <c r="J513" s="7">
        <v>0</v>
      </c>
      <c r="L513" s="7">
        <v>0</v>
      </c>
      <c r="N513" s="7">
        <v>0</v>
      </c>
      <c r="P513" s="7">
        <v>0</v>
      </c>
    </row>
    <row r="514" spans="2:16">
      <c r="C514" t="s">
        <v>202</v>
      </c>
      <c r="H514" s="7">
        <v>1725710</v>
      </c>
      <c r="J514" s="7">
        <v>1725710</v>
      </c>
      <c r="L514" s="7">
        <v>1725710</v>
      </c>
      <c r="N514" s="7">
        <v>1725710</v>
      </c>
      <c r="P514" s="7">
        <v>1725710</v>
      </c>
    </row>
    <row r="515" spans="2:16" ht="15" thickBot="1">
      <c r="C515" t="s">
        <v>203</v>
      </c>
      <c r="H515" s="54">
        <v>5000</v>
      </c>
      <c r="J515" s="54">
        <v>5000</v>
      </c>
      <c r="L515" s="54">
        <v>5000</v>
      </c>
      <c r="N515" s="54">
        <v>5000</v>
      </c>
      <c r="P515" s="54">
        <v>5000</v>
      </c>
    </row>
    <row r="516" spans="2:16" ht="15" thickTop="1"/>
    <row r="517" spans="2:16">
      <c r="C517" t="s">
        <v>166</v>
      </c>
      <c r="H517" s="7">
        <v>3363239.1140000001</v>
      </c>
      <c r="J517" s="7">
        <v>4006136.3464333336</v>
      </c>
      <c r="L517" s="7">
        <v>4736562.5045556668</v>
      </c>
      <c r="N517" s="7">
        <v>5553090.3476033369</v>
      </c>
      <c r="P517" s="7">
        <v>6459605.8226007624</v>
      </c>
    </row>
    <row r="519" spans="2:16">
      <c r="B519" s="6" t="s">
        <v>204</v>
      </c>
    </row>
    <row r="521" spans="2:16">
      <c r="C521" t="s">
        <v>205</v>
      </c>
      <c r="H521" s="7">
        <v>264426.70399999997</v>
      </c>
      <c r="J521" s="7">
        <v>264808.87626666669</v>
      </c>
      <c r="L521" s="7">
        <v>250182.46106666667</v>
      </c>
      <c r="N521" s="7">
        <v>239869.4530666667</v>
      </c>
      <c r="P521" s="7">
        <v>230484.57173333335</v>
      </c>
    </row>
    <row r="522" spans="2:16" ht="15" thickBot="1">
      <c r="C522" t="s">
        <v>206</v>
      </c>
      <c r="H522" s="54">
        <v>420078</v>
      </c>
      <c r="J522" s="54">
        <v>420078</v>
      </c>
      <c r="L522" s="54">
        <v>420078</v>
      </c>
      <c r="N522" s="54">
        <v>420078</v>
      </c>
      <c r="P522" s="54">
        <v>420078</v>
      </c>
    </row>
    <row r="523" spans="2:16" ht="15" thickTop="1"/>
    <row r="524" spans="2:16">
      <c r="C524" t="s">
        <v>167</v>
      </c>
      <c r="H524" s="7">
        <v>684504.70399999991</v>
      </c>
      <c r="J524" s="7">
        <v>684886.87626666669</v>
      </c>
      <c r="L524" s="7">
        <v>670260.46106666664</v>
      </c>
      <c r="N524" s="7">
        <v>659947.45306666673</v>
      </c>
      <c r="P524" s="7">
        <v>650562.5717333334</v>
      </c>
    </row>
    <row r="526" spans="2:16">
      <c r="B526" s="6" t="s">
        <v>169</v>
      </c>
      <c r="H526" s="7">
        <v>2678734.41</v>
      </c>
      <c r="J526" s="7">
        <v>3321249.4701666669</v>
      </c>
      <c r="L526" s="7">
        <v>4066302.0434890003</v>
      </c>
      <c r="N526" s="7">
        <v>4893142.8945366703</v>
      </c>
      <c r="P526" s="7">
        <v>5809043.2508674292</v>
      </c>
    </row>
    <row r="527" spans="2:16">
      <c r="B527" s="6"/>
    </row>
    <row r="528" spans="2:16" ht="6.75" customHeight="1">
      <c r="B528" s="32"/>
      <c r="C528" s="32"/>
      <c r="D528" s="32"/>
      <c r="E528" s="32"/>
      <c r="F528" s="32"/>
      <c r="G528" s="32"/>
      <c r="H528" s="25"/>
      <c r="I528" s="32"/>
      <c r="J528" s="25"/>
      <c r="K528" s="32"/>
      <c r="L528" s="25"/>
      <c r="M528" s="32"/>
      <c r="N528" s="25"/>
      <c r="O528" s="32"/>
      <c r="P528" s="25"/>
    </row>
    <row r="529" spans="2:16" ht="26">
      <c r="B529" s="23" t="s">
        <v>53</v>
      </c>
      <c r="G529" s="5"/>
      <c r="H529"/>
      <c r="J529"/>
      <c r="L529"/>
      <c r="N529" t="s">
        <v>284</v>
      </c>
      <c r="P529" t="s">
        <v>297</v>
      </c>
    </row>
    <row r="530" spans="2:16" ht="15.75" customHeight="1">
      <c r="B530" s="5"/>
    </row>
    <row r="531" spans="2:16" ht="15" thickBot="1">
      <c r="H531" s="33"/>
      <c r="I531" s="34"/>
      <c r="J531" s="33"/>
      <c r="K531" s="34"/>
      <c r="L531" s="35" t="s">
        <v>59</v>
      </c>
      <c r="M531" s="34"/>
      <c r="N531" s="33"/>
      <c r="O531" s="34"/>
      <c r="P531" s="33"/>
    </row>
    <row r="532" spans="2:16">
      <c r="B532" s="22" t="s">
        <v>74</v>
      </c>
      <c r="H532" s="10">
        <v>43465</v>
      </c>
      <c r="I532" s="8"/>
      <c r="J532" s="10">
        <v>43830</v>
      </c>
      <c r="K532" s="8"/>
      <c r="L532" s="10">
        <v>44196</v>
      </c>
      <c r="M532" s="8"/>
      <c r="N532" s="10">
        <v>44561</v>
      </c>
      <c r="O532" s="8"/>
      <c r="P532" s="10">
        <v>44926</v>
      </c>
    </row>
    <row r="533" spans="2:16">
      <c r="H533"/>
      <c r="J533"/>
      <c r="L533"/>
      <c r="N533"/>
      <c r="P533"/>
    </row>
    <row r="534" spans="2:16">
      <c r="B534" t="s">
        <v>115</v>
      </c>
      <c r="H534" s="94">
        <v>0.24369717190439943</v>
      </c>
      <c r="J534" s="94">
        <v>0.20913189636584112</v>
      </c>
      <c r="L534" s="94">
        <v>0.18174554199271675</v>
      </c>
      <c r="N534" s="94">
        <v>0.16070046408846139</v>
      </c>
      <c r="P534" s="94">
        <v>0.14402638080797081</v>
      </c>
    </row>
    <row r="535" spans="2:16">
      <c r="B535" t="s">
        <v>116</v>
      </c>
      <c r="H535" s="94">
        <v>0.24369717190439943</v>
      </c>
      <c r="J535" s="94">
        <v>0.20913189636584112</v>
      </c>
      <c r="L535" s="94">
        <v>0.18174554199271675</v>
      </c>
      <c r="N535" s="94">
        <v>0.16070046408846139</v>
      </c>
      <c r="P535" s="94">
        <v>0.14402638080797081</v>
      </c>
    </row>
    <row r="536" spans="2:16">
      <c r="B536" t="s">
        <v>242</v>
      </c>
      <c r="H536" s="94">
        <v>9.3327654681525513E-2</v>
      </c>
      <c r="J536" s="94">
        <v>7.5272876140633452E-2</v>
      </c>
      <c r="L536" s="94">
        <v>6.1480922303915483E-2</v>
      </c>
      <c r="N536" s="94">
        <v>5.1091906651475873E-2</v>
      </c>
      <c r="P536" s="94">
        <v>4.3036346813680376E-2</v>
      </c>
    </row>
    <row r="537" spans="2:16">
      <c r="B537" t="s">
        <v>48</v>
      </c>
      <c r="H537" s="94">
        <v>7.6222895465005477E-2</v>
      </c>
      <c r="J537" s="94">
        <v>6.5421885133748525E-2</v>
      </c>
      <c r="L537" s="94">
        <v>4.5231676646566285E-2</v>
      </c>
      <c r="N537" s="94">
        <v>3.4440931922401871E-2</v>
      </c>
      <c r="P537" s="94">
        <v>2.7642439074662302E-2</v>
      </c>
    </row>
    <row r="538" spans="2:16">
      <c r="B538" t="s">
        <v>207</v>
      </c>
      <c r="H538" s="97">
        <v>7465</v>
      </c>
      <c r="J538" s="7">
        <v>41779.20000000007</v>
      </c>
      <c r="L538" s="7">
        <v>44453.068800000008</v>
      </c>
      <c r="N538" s="7">
        <v>47298.065203200094</v>
      </c>
      <c r="P538" s="7">
        <v>50325.141376204905</v>
      </c>
    </row>
    <row r="539" spans="2:16">
      <c r="B539" t="s">
        <v>118</v>
      </c>
      <c r="H539" s="97">
        <v>582986.41000000015</v>
      </c>
      <c r="J539" s="7">
        <v>642515.06016666675</v>
      </c>
      <c r="L539" s="7">
        <v>745052.5733223334</v>
      </c>
      <c r="N539" s="7">
        <v>826840.85104767</v>
      </c>
      <c r="P539" s="7">
        <v>915900.35633075889</v>
      </c>
    </row>
    <row r="540" spans="2:16">
      <c r="B540" t="s">
        <v>119</v>
      </c>
      <c r="H540" s="94">
        <v>5.4479846697455788E-3</v>
      </c>
      <c r="J540" s="94">
        <v>1.4266896532930982E-4</v>
      </c>
      <c r="L540" s="94">
        <v>-4.4038893589243193E-3</v>
      </c>
      <c r="N540" s="94">
        <v>-2.5362129742706285E-3</v>
      </c>
      <c r="P540" s="94">
        <v>-1.9179659240713843E-3</v>
      </c>
    </row>
    <row r="541" spans="2:16">
      <c r="B541" t="s">
        <v>280</v>
      </c>
      <c r="H541" s="94">
        <v>5.1529165969089116E-2</v>
      </c>
      <c r="J541" s="94">
        <v>5.0556863375750528E-2</v>
      </c>
      <c r="L541" s="94">
        <v>4.9198710568488013E-2</v>
      </c>
      <c r="N541" s="94">
        <v>4.8348909959676299E-2</v>
      </c>
      <c r="P541" s="94">
        <v>4.7753908070617947E-2</v>
      </c>
    </row>
    <row r="542" spans="2:16">
      <c r="B542" t="s">
        <v>124</v>
      </c>
      <c r="H542" s="94">
        <v>0</v>
      </c>
      <c r="J542" s="94">
        <v>0</v>
      </c>
      <c r="L542" s="94">
        <v>0</v>
      </c>
      <c r="N542" s="94">
        <v>0</v>
      </c>
      <c r="P542" s="94">
        <v>0</v>
      </c>
    </row>
    <row r="543" spans="2:16">
      <c r="B543" t="s">
        <v>127</v>
      </c>
      <c r="H543" s="94">
        <v>5.4479846697455788E-3</v>
      </c>
      <c r="J543" s="94">
        <v>1.4266896532930982E-4</v>
      </c>
      <c r="L543" s="94">
        <v>-4.4038893589243193E-3</v>
      </c>
      <c r="N543" s="94">
        <v>-2.5362129742706285E-3</v>
      </c>
      <c r="P543" s="94">
        <v>-1.9179659240713843E-3</v>
      </c>
    </row>
    <row r="544" spans="2:16">
      <c r="B544" t="s">
        <v>128</v>
      </c>
      <c r="H544" s="94">
        <v>0.41929096279504385</v>
      </c>
      <c r="J544" s="94">
        <v>0.30099276882339326</v>
      </c>
      <c r="L544" s="94">
        <v>0.2229851464936555</v>
      </c>
      <c r="N544" s="94">
        <v>0.17265352818184593</v>
      </c>
      <c r="P544" s="94">
        <v>0.13757177069203058</v>
      </c>
    </row>
    <row r="545" spans="2:16">
      <c r="B545" t="s">
        <v>73</v>
      </c>
      <c r="H545" s="94">
        <v>0.21297457107843135</v>
      </c>
      <c r="J545" s="94">
        <v>0.21487089353285177</v>
      </c>
      <c r="L545" s="94">
        <v>0.1641786677736653</v>
      </c>
      <c r="N545" s="94">
        <v>0.15430325918577567</v>
      </c>
      <c r="P545" s="94">
        <v>0.14502186013700713</v>
      </c>
    </row>
    <row r="546" spans="2:16">
      <c r="B546" t="s">
        <v>132</v>
      </c>
      <c r="H546" s="94">
        <v>0.10541780024509805</v>
      </c>
      <c r="J546" s="94">
        <v>0.1018332282337277</v>
      </c>
      <c r="L546" s="94">
        <v>9.8376190777232822E-2</v>
      </c>
      <c r="N546" s="94">
        <v>9.5041831172286775E-2</v>
      </c>
      <c r="P546" s="94">
        <v>9.1825494909526961E-2</v>
      </c>
    </row>
    <row r="547" spans="2:16">
      <c r="B547" t="s">
        <v>134</v>
      </c>
      <c r="H547" s="94">
        <v>0</v>
      </c>
      <c r="J547" s="94">
        <v>0</v>
      </c>
      <c r="L547" s="94">
        <v>0</v>
      </c>
      <c r="N547" s="94">
        <v>0</v>
      </c>
      <c r="P547" s="94">
        <v>0</v>
      </c>
    </row>
    <row r="548" spans="2:16">
      <c r="B548" t="s">
        <v>135</v>
      </c>
      <c r="H548" s="94">
        <v>0.42381017156862744</v>
      </c>
      <c r="J548" s="94">
        <v>0.41853735000030717</v>
      </c>
      <c r="L548" s="94">
        <v>0.36093104932813092</v>
      </c>
      <c r="N548" s="94">
        <v>0.34438692153034922</v>
      </c>
      <c r="P548" s="94">
        <v>0.32867284995606105</v>
      </c>
    </row>
    <row r="549" spans="2:16">
      <c r="B549" t="s">
        <v>47</v>
      </c>
      <c r="H549" s="94">
        <v>0.21144753370098041</v>
      </c>
      <c r="J549" s="94">
        <v>0.24174630582084808</v>
      </c>
      <c r="L549" s="94">
        <v>0.27070105835366015</v>
      </c>
      <c r="N549" s="94">
        <v>0.30086353660473247</v>
      </c>
      <c r="P549" s="94">
        <v>0.33156361912813626</v>
      </c>
    </row>
    <row r="550" spans="2:16">
      <c r="B550" t="s">
        <v>114</v>
      </c>
      <c r="H550" s="94">
        <v>0.21236263786764703</v>
      </c>
      <c r="J550" s="94">
        <v>0.17679104417945909</v>
      </c>
      <c r="L550" s="94">
        <v>9.0229990974470764E-2</v>
      </c>
      <c r="N550" s="94">
        <v>4.3523384925616748E-2</v>
      </c>
      <c r="P550" s="94">
        <v>-2.8907691720752027E-3</v>
      </c>
    </row>
    <row r="551" spans="2:16">
      <c r="B551" t="s">
        <v>38</v>
      </c>
      <c r="H551" s="94">
        <v>4.9133907982610454</v>
      </c>
      <c r="J551" s="94">
        <v>5.849340212606891</v>
      </c>
      <c r="L551" s="94">
        <v>7.0667490918646783</v>
      </c>
      <c r="N551" s="94">
        <v>8.4144431830125921</v>
      </c>
      <c r="P551" s="94">
        <v>9.9292613858649172</v>
      </c>
    </row>
    <row r="552" spans="2:16">
      <c r="B552" t="s">
        <v>39</v>
      </c>
      <c r="H552" s="7">
        <v>459547.16399999999</v>
      </c>
      <c r="J552" s="7">
        <v>474985.27673333348</v>
      </c>
      <c r="L552" s="7">
        <v>530369.34080066672</v>
      </c>
      <c r="N552" s="7">
        <v>579949.71781988686</v>
      </c>
      <c r="P552" s="7">
        <v>629110.957617259</v>
      </c>
    </row>
    <row r="553" spans="2:16">
      <c r="B553" t="s">
        <v>44</v>
      </c>
      <c r="H553" s="7">
        <v>459547.16399999999</v>
      </c>
      <c r="J553" s="7">
        <v>474985.27673333348</v>
      </c>
      <c r="L553" s="7">
        <v>530369.34080066672</v>
      </c>
      <c r="N553" s="7">
        <v>579949.71781988686</v>
      </c>
      <c r="P553" s="7">
        <v>629110.957617259</v>
      </c>
    </row>
    <row r="554" spans="2:16">
      <c r="B554" t="s">
        <v>51</v>
      </c>
      <c r="H554" s="94">
        <v>0.89305516237745108</v>
      </c>
      <c r="J554" s="94">
        <v>0.92504218405426863</v>
      </c>
      <c r="L554" s="94">
        <v>1.0081461998027621</v>
      </c>
      <c r="N554" s="94">
        <v>1.05151844624667</v>
      </c>
      <c r="P554" s="94">
        <v>1.0947162640816024</v>
      </c>
    </row>
    <row r="556" spans="2:16" ht="6.75" customHeight="1">
      <c r="B556" s="32"/>
      <c r="C556" s="32"/>
      <c r="D556" s="32"/>
      <c r="E556" s="32"/>
      <c r="F556" s="32"/>
      <c r="G556" s="32"/>
      <c r="H556" s="25"/>
      <c r="I556" s="32"/>
      <c r="J556" s="25"/>
      <c r="K556" s="32"/>
      <c r="L556" s="25"/>
      <c r="M556" s="32"/>
      <c r="N556" s="25"/>
      <c r="O556" s="32"/>
      <c r="P556" s="25"/>
    </row>
    <row r="559" spans="2:16" ht="26">
      <c r="B559" s="5">
        <v>0</v>
      </c>
    </row>
    <row r="561" spans="2:16" ht="26">
      <c r="B561" s="5" t="s">
        <v>200</v>
      </c>
      <c r="N561" s="7" t="s">
        <v>284</v>
      </c>
      <c r="P561" s="7" t="s">
        <v>298</v>
      </c>
    </row>
    <row r="562" spans="2:16" ht="6.75" customHeight="1">
      <c r="B562" s="43"/>
      <c r="C562" s="32"/>
      <c r="D562" s="32"/>
      <c r="E562" s="32"/>
      <c r="F562" s="32"/>
      <c r="G562" s="32"/>
      <c r="H562" s="25"/>
      <c r="I562" s="32"/>
      <c r="J562" s="25"/>
      <c r="K562" s="32"/>
      <c r="L562" s="25"/>
      <c r="M562" s="32"/>
      <c r="N562" s="25"/>
      <c r="O562" s="32"/>
      <c r="P562" s="25"/>
    </row>
    <row r="563" spans="2:16" ht="17.25" customHeight="1">
      <c r="B563" s="5"/>
    </row>
    <row r="564" spans="2:16" ht="15" thickBot="1">
      <c r="H564" s="33"/>
      <c r="I564" s="34"/>
      <c r="J564" s="33"/>
      <c r="K564" s="34"/>
      <c r="L564" s="35" t="s">
        <v>59</v>
      </c>
      <c r="M564" s="34"/>
      <c r="N564" s="33"/>
      <c r="O564" s="34"/>
      <c r="P564" s="33"/>
    </row>
    <row r="565" spans="2:16">
      <c r="B565" s="6" t="s">
        <v>201</v>
      </c>
      <c r="H565" s="10">
        <v>43465</v>
      </c>
      <c r="I565" s="8"/>
      <c r="J565" s="10">
        <v>43830</v>
      </c>
      <c r="K565" s="8"/>
      <c r="L565" s="10">
        <v>44196</v>
      </c>
      <c r="M565" s="8"/>
      <c r="N565" s="10">
        <v>44561</v>
      </c>
      <c r="O565" s="8"/>
      <c r="P565" s="10">
        <v>44926</v>
      </c>
    </row>
    <row r="567" spans="2:16">
      <c r="C567" t="s">
        <v>281</v>
      </c>
      <c r="H567" s="7">
        <v>1601488.3588</v>
      </c>
      <c r="J567" s="7">
        <v>2226544.6262733331</v>
      </c>
      <c r="L567" s="7">
        <v>2947233.3395876661</v>
      </c>
      <c r="N567" s="7">
        <v>3718613.0918536028</v>
      </c>
      <c r="P567" s="7">
        <v>4586119.4959302088</v>
      </c>
    </row>
    <row r="568" spans="2:16">
      <c r="C568" t="s">
        <v>165</v>
      </c>
      <c r="H568" s="7">
        <v>0</v>
      </c>
      <c r="J568" s="7">
        <v>0</v>
      </c>
      <c r="L568" s="7">
        <v>0</v>
      </c>
      <c r="N568" s="7">
        <v>0</v>
      </c>
      <c r="P568" s="7">
        <v>0</v>
      </c>
    </row>
    <row r="569" spans="2:16">
      <c r="C569" t="s">
        <v>202</v>
      </c>
      <c r="H569" s="7">
        <v>1725710</v>
      </c>
      <c r="J569" s="7">
        <v>1725710</v>
      </c>
      <c r="L569" s="7">
        <v>1725710</v>
      </c>
      <c r="N569" s="7">
        <v>1725710</v>
      </c>
      <c r="P569" s="7">
        <v>1725710</v>
      </c>
    </row>
    <row r="570" spans="2:16" ht="15" thickBot="1">
      <c r="C570" t="s">
        <v>203</v>
      </c>
      <c r="H570" s="54">
        <v>5000</v>
      </c>
      <c r="J570" s="54">
        <v>5000</v>
      </c>
      <c r="L570" s="54">
        <v>5000</v>
      </c>
      <c r="N570" s="54">
        <v>5000</v>
      </c>
      <c r="P570" s="54">
        <v>5000</v>
      </c>
    </row>
    <row r="571" spans="2:16" ht="15" thickTop="1"/>
    <row r="572" spans="2:16">
      <c r="C572" t="s">
        <v>166</v>
      </c>
      <c r="H572" s="7">
        <v>3332198.3588</v>
      </c>
      <c r="J572" s="7">
        <v>3957254.6262733331</v>
      </c>
      <c r="L572" s="7">
        <v>4677943.3395876661</v>
      </c>
      <c r="N572" s="7">
        <v>5449323.0918536028</v>
      </c>
      <c r="P572" s="7">
        <v>6316829.4959302088</v>
      </c>
    </row>
    <row r="574" spans="2:16">
      <c r="B574" s="6" t="s">
        <v>204</v>
      </c>
    </row>
    <row r="576" spans="2:16">
      <c r="C576" t="s">
        <v>205</v>
      </c>
      <c r="H576" s="7">
        <v>330388.30879999994</v>
      </c>
      <c r="J576" s="7">
        <v>286570.03386666661</v>
      </c>
      <c r="L576" s="7">
        <v>264650.25986666663</v>
      </c>
      <c r="N576" s="7">
        <v>326818.94599999988</v>
      </c>
      <c r="P576" s="7">
        <v>283613.35653333319</v>
      </c>
    </row>
    <row r="577" spans="2:16" ht="15" thickBot="1">
      <c r="C577" t="s">
        <v>206</v>
      </c>
      <c r="H577" s="54">
        <v>420078</v>
      </c>
      <c r="J577" s="54">
        <v>420078</v>
      </c>
      <c r="L577" s="54">
        <v>420078</v>
      </c>
      <c r="N577" s="54">
        <v>420078</v>
      </c>
      <c r="P577" s="54">
        <v>420078</v>
      </c>
    </row>
    <row r="578" spans="2:16" ht="15" thickTop="1"/>
    <row r="579" spans="2:16">
      <c r="C579" t="s">
        <v>167</v>
      </c>
      <c r="H579" s="7">
        <v>750466.3088</v>
      </c>
      <c r="J579" s="7">
        <v>706648.03386666661</v>
      </c>
      <c r="L579" s="7">
        <v>684728.25986666663</v>
      </c>
      <c r="N579" s="7">
        <v>746896.94599999988</v>
      </c>
      <c r="P579" s="7">
        <v>703691.35653333319</v>
      </c>
    </row>
    <row r="581" spans="2:16">
      <c r="B581" s="6" t="s">
        <v>169</v>
      </c>
      <c r="H581" s="7">
        <v>2581732.0499999998</v>
      </c>
      <c r="J581" s="7">
        <v>3250606.5924066664</v>
      </c>
      <c r="L581" s="7">
        <v>3993215.0797209996</v>
      </c>
      <c r="N581" s="7">
        <v>4702426.1458536033</v>
      </c>
      <c r="P581" s="7">
        <v>5613138.1393968761</v>
      </c>
    </row>
    <row r="582" spans="2:16">
      <c r="B582" s="6"/>
    </row>
    <row r="583" spans="2:16" ht="6.75" customHeight="1">
      <c r="B583" s="32"/>
      <c r="C583" s="32"/>
      <c r="D583" s="32"/>
      <c r="E583" s="32"/>
      <c r="F583" s="32"/>
      <c r="G583" s="32"/>
      <c r="H583" s="25"/>
      <c r="I583" s="32"/>
      <c r="J583" s="25"/>
      <c r="K583" s="32"/>
      <c r="L583" s="25"/>
      <c r="M583" s="32"/>
      <c r="N583" s="25"/>
      <c r="O583" s="32"/>
      <c r="P583" s="25"/>
    </row>
    <row r="584" spans="2:16" ht="26">
      <c r="B584" s="23" t="s">
        <v>53</v>
      </c>
      <c r="G584" s="5"/>
      <c r="H584"/>
      <c r="J584"/>
      <c r="L584"/>
      <c r="N584" t="s">
        <v>284</v>
      </c>
      <c r="P584" t="s">
        <v>298</v>
      </c>
    </row>
    <row r="585" spans="2:16" ht="15.75" customHeight="1">
      <c r="B585" s="5"/>
    </row>
    <row r="586" spans="2:16" ht="15" thickBot="1">
      <c r="H586" s="33"/>
      <c r="I586" s="34"/>
      <c r="J586" s="33"/>
      <c r="K586" s="34"/>
      <c r="L586" s="35" t="s">
        <v>59</v>
      </c>
      <c r="M586" s="34"/>
      <c r="N586" s="33"/>
      <c r="O586" s="34"/>
      <c r="P586" s="33"/>
    </row>
    <row r="587" spans="2:16">
      <c r="B587" s="22" t="s">
        <v>74</v>
      </c>
      <c r="H587" s="10">
        <v>43465</v>
      </c>
      <c r="I587" s="8"/>
      <c r="J587" s="10">
        <v>43830</v>
      </c>
      <c r="K587" s="8"/>
      <c r="L587" s="10">
        <v>44196</v>
      </c>
      <c r="M587" s="8"/>
      <c r="N587" s="10">
        <v>44561</v>
      </c>
      <c r="O587" s="8"/>
      <c r="P587" s="10">
        <v>44926</v>
      </c>
    </row>
    <row r="588" spans="2:16">
      <c r="H588"/>
      <c r="J588"/>
      <c r="L588"/>
      <c r="N588"/>
      <c r="P588"/>
    </row>
    <row r="589" spans="2:16">
      <c r="B589" t="s">
        <v>115</v>
      </c>
      <c r="H589" s="94">
        <v>0.25285350584697591</v>
      </c>
      <c r="J589" s="94">
        <v>0.21367679547027293</v>
      </c>
      <c r="L589" s="94">
        <v>0.18507199187769149</v>
      </c>
      <c r="N589" s="94">
        <v>0.16721800823954511</v>
      </c>
      <c r="P589" s="94">
        <v>0.14905307060005876</v>
      </c>
    </row>
    <row r="590" spans="2:16">
      <c r="B590" t="s">
        <v>116</v>
      </c>
      <c r="H590" s="94">
        <v>0.25285350584697591</v>
      </c>
      <c r="J590" s="94">
        <v>0.21367679547027293</v>
      </c>
      <c r="L590" s="94">
        <v>0.18507199187769149</v>
      </c>
      <c r="N590" s="94">
        <v>0.16721800823954511</v>
      </c>
      <c r="P590" s="94">
        <v>0.14905307060005876</v>
      </c>
    </row>
    <row r="591" spans="2:16">
      <c r="B591" t="s">
        <v>242</v>
      </c>
      <c r="H591" s="94">
        <v>9.6834216393602901E-2</v>
      </c>
      <c r="J591" s="94">
        <v>7.6908722385536782E-2</v>
      </c>
      <c r="L591" s="94">
        <v>6.2606194509679941E-2</v>
      </c>
      <c r="N591" s="94">
        <v>5.3164046014936191E-2</v>
      </c>
      <c r="P591" s="94">
        <v>4.4538365846606823E-2</v>
      </c>
    </row>
    <row r="592" spans="2:16">
      <c r="B592" t="s">
        <v>48</v>
      </c>
      <c r="H592" s="94">
        <v>9.7082723296533502E-2</v>
      </c>
      <c r="J592" s="94">
        <v>7.4173949319438631E-2</v>
      </c>
      <c r="L592" s="94">
        <v>4.8605960515286248E-2</v>
      </c>
      <c r="N592" s="94">
        <v>4.6754924368859675E-2</v>
      </c>
      <c r="P592" s="94">
        <v>3.5877591708199985E-2</v>
      </c>
    </row>
    <row r="593" spans="2:16">
      <c r="B593" t="s">
        <v>207</v>
      </c>
      <c r="H593" s="97">
        <v>7465</v>
      </c>
      <c r="J593" s="7">
        <v>41779.20000000007</v>
      </c>
      <c r="L593" s="7">
        <v>44453.068800000008</v>
      </c>
      <c r="N593" s="7">
        <v>47298.065203200094</v>
      </c>
      <c r="P593" s="7">
        <v>50325.141376204905</v>
      </c>
    </row>
    <row r="594" spans="2:16">
      <c r="B594" t="s">
        <v>118</v>
      </c>
      <c r="H594" s="97">
        <v>485984.04999999981</v>
      </c>
      <c r="J594" s="7">
        <v>668874.54240666656</v>
      </c>
      <c r="L594" s="7">
        <v>742608.48731433321</v>
      </c>
      <c r="N594" s="7">
        <v>709211.06613260368</v>
      </c>
      <c r="P594" s="7">
        <v>910711.99354327284</v>
      </c>
    </row>
    <row r="595" spans="2:16">
      <c r="B595" t="s">
        <v>119</v>
      </c>
      <c r="H595" s="94">
        <v>3.1202040815970791E-2</v>
      </c>
      <c r="J595" s="94">
        <v>-1.6972433267555143E-2</v>
      </c>
      <c r="L595" s="94">
        <v>-6.7432872532788204E-3</v>
      </c>
      <c r="N595" s="94">
        <v>1.5568579425898815E-2</v>
      </c>
      <c r="P595" s="94">
        <v>-9.1879357860332397E-3</v>
      </c>
    </row>
    <row r="596" spans="2:16">
      <c r="B596" t="s">
        <v>280</v>
      </c>
      <c r="H596" s="94">
        <v>5.3465250198989483E-2</v>
      </c>
      <c r="J596" s="94">
        <v>5.1178114979712558E-2</v>
      </c>
      <c r="L596" s="94">
        <v>4.9487124376850149E-2</v>
      </c>
      <c r="N596" s="94">
        <v>4.9686514946205657E-2</v>
      </c>
      <c r="P596" s="94">
        <v>4.8496250730421075E-2</v>
      </c>
    </row>
    <row r="597" spans="2:16">
      <c r="B597" t="s">
        <v>124</v>
      </c>
      <c r="H597" s="94">
        <v>0</v>
      </c>
      <c r="J597" s="94">
        <v>0</v>
      </c>
      <c r="L597" s="94">
        <v>0</v>
      </c>
      <c r="N597" s="94">
        <v>0</v>
      </c>
      <c r="P597" s="94">
        <v>0</v>
      </c>
    </row>
    <row r="598" spans="2:16">
      <c r="B598" t="s">
        <v>127</v>
      </c>
      <c r="H598" s="94">
        <v>3.1202040815970791E-2</v>
      </c>
      <c r="J598" s="94">
        <v>-1.6972433267555143E-2</v>
      </c>
      <c r="L598" s="94">
        <v>-6.7432872532788204E-3</v>
      </c>
      <c r="N598" s="94">
        <v>1.5568579425898815E-2</v>
      </c>
      <c r="P598" s="94">
        <v>-9.1879357860332397E-3</v>
      </c>
    </row>
    <row r="599" spans="2:16">
      <c r="B599" t="s">
        <v>128</v>
      </c>
      <c r="H599" s="94">
        <v>0.4686055347678747</v>
      </c>
      <c r="J599" s="94">
        <v>0.31737429626524705</v>
      </c>
      <c r="L599" s="94">
        <v>0.23232916466751963</v>
      </c>
      <c r="N599" s="94">
        <v>0.20085363213404303</v>
      </c>
      <c r="P599" s="94">
        <v>0.15343938533607759</v>
      </c>
    </row>
    <row r="600" spans="2:16">
      <c r="B600" t="s">
        <v>73</v>
      </c>
      <c r="H600" s="94">
        <v>0.36156887254901948</v>
      </c>
      <c r="J600" s="94">
        <v>0.17468610251117986</v>
      </c>
      <c r="L600" s="94">
        <v>0.16417866777366533</v>
      </c>
      <c r="N600" s="94">
        <v>0.30016921615927294</v>
      </c>
      <c r="P600" s="94">
        <v>0.14502186013700713</v>
      </c>
    </row>
    <row r="601" spans="2:16">
      <c r="B601" t="s">
        <v>132</v>
      </c>
      <c r="H601" s="94">
        <v>0.10541780024509805</v>
      </c>
      <c r="J601" s="94">
        <v>0.1018332282337277</v>
      </c>
      <c r="L601" s="94">
        <v>9.8376190777232822E-2</v>
      </c>
      <c r="N601" s="94">
        <v>9.5041831172286775E-2</v>
      </c>
      <c r="P601" s="94">
        <v>9.1825494909526961E-2</v>
      </c>
    </row>
    <row r="602" spans="2:16">
      <c r="B602" t="s">
        <v>134</v>
      </c>
      <c r="H602" s="94">
        <v>0</v>
      </c>
      <c r="J602" s="94">
        <v>0</v>
      </c>
      <c r="L602" s="94">
        <v>0</v>
      </c>
      <c r="N602" s="94">
        <v>0</v>
      </c>
      <c r="P602" s="94">
        <v>0</v>
      </c>
    </row>
    <row r="603" spans="2:16">
      <c r="B603" t="s">
        <v>135</v>
      </c>
      <c r="H603" s="94">
        <v>0.5724044730392156</v>
      </c>
      <c r="J603" s="94">
        <v>0.37835255897863523</v>
      </c>
      <c r="L603" s="94">
        <v>0.36093104932813097</v>
      </c>
      <c r="N603" s="94">
        <v>0.49025287850384647</v>
      </c>
      <c r="P603" s="94">
        <v>0.32867284995606105</v>
      </c>
    </row>
    <row r="604" spans="2:16">
      <c r="B604" t="s">
        <v>47</v>
      </c>
      <c r="H604" s="94">
        <v>0.21144753370098041</v>
      </c>
      <c r="J604" s="94">
        <v>0.23951180504685426</v>
      </c>
      <c r="L604" s="94">
        <v>0.26739391452356925</v>
      </c>
      <c r="N604" s="94">
        <v>0.29713614860803839</v>
      </c>
      <c r="P604" s="94">
        <v>0.32536230575582625</v>
      </c>
    </row>
    <row r="605" spans="2:16">
      <c r="B605" t="s">
        <v>114</v>
      </c>
      <c r="H605" s="94">
        <v>0.36095693933823519</v>
      </c>
      <c r="J605" s="94">
        <v>0.13884075393178097</v>
      </c>
      <c r="L605" s="94">
        <v>9.3537134804561717E-2</v>
      </c>
      <c r="N605" s="94">
        <v>0.19311672989580808</v>
      </c>
      <c r="P605" s="94">
        <v>3.3105442002347996E-3</v>
      </c>
    </row>
    <row r="606" spans="2:16">
      <c r="B606" t="s">
        <v>38</v>
      </c>
      <c r="H606" s="94">
        <v>4.4401704909687476</v>
      </c>
      <c r="J606" s="94">
        <v>5.6000362791924285</v>
      </c>
      <c r="L606" s="94">
        <v>6.8318245554792441</v>
      </c>
      <c r="N606" s="94">
        <v>7.2959504266785471</v>
      </c>
      <c r="P606" s="94">
        <v>8.976704683498534</v>
      </c>
    </row>
    <row r="607" spans="2:16">
      <c r="B607" t="s">
        <v>39</v>
      </c>
      <c r="H607" s="7">
        <v>428506.40880000003</v>
      </c>
      <c r="J607" s="7">
        <v>458696.34953333344</v>
      </c>
      <c r="L607" s="7">
        <v>523075.98200066673</v>
      </c>
      <c r="N607" s="7">
        <v>537732.58528655348</v>
      </c>
      <c r="P607" s="7">
        <v>595290.24948392576</v>
      </c>
    </row>
    <row r="608" spans="2:16">
      <c r="B608" t="s">
        <v>44</v>
      </c>
      <c r="H608" s="7">
        <v>428506.40880000003</v>
      </c>
      <c r="J608" s="7">
        <v>458696.34953333344</v>
      </c>
      <c r="L608" s="7">
        <v>523075.98200066673</v>
      </c>
      <c r="N608" s="7">
        <v>537732.58528655348</v>
      </c>
      <c r="P608" s="7">
        <v>595290.24948392576</v>
      </c>
    </row>
    <row r="609" spans="2:16">
      <c r="B609" t="s">
        <v>51</v>
      </c>
      <c r="H609" s="94">
        <v>0.74446086090686292</v>
      </c>
      <c r="J609" s="94">
        <v>0.96299247430194679</v>
      </c>
      <c r="L609" s="94">
        <v>1.004839055972671</v>
      </c>
      <c r="N609" s="94">
        <v>0.90192510127647862</v>
      </c>
      <c r="P609" s="94">
        <v>1.0885149507092922</v>
      </c>
    </row>
    <row r="611" spans="2:16" ht="6.75" customHeight="1">
      <c r="B611" s="32"/>
      <c r="C611" s="32"/>
      <c r="D611" s="32"/>
      <c r="E611" s="32"/>
      <c r="F611" s="32"/>
      <c r="G611" s="32"/>
      <c r="H611" s="25"/>
      <c r="I611" s="32"/>
      <c r="J611" s="25"/>
      <c r="K611" s="32"/>
      <c r="L611" s="25"/>
      <c r="M611" s="32"/>
      <c r="N611" s="25"/>
      <c r="O611" s="32"/>
      <c r="P611" s="25"/>
    </row>
    <row r="614" spans="2:16" ht="26">
      <c r="B614" s="5">
        <v>0</v>
      </c>
    </row>
    <row r="616" spans="2:16" ht="26">
      <c r="B616" s="5" t="s">
        <v>200</v>
      </c>
      <c r="N616" s="7" t="s">
        <v>284</v>
      </c>
      <c r="P616" s="7" t="s">
        <v>299</v>
      </c>
    </row>
    <row r="617" spans="2:16" ht="6.75" customHeight="1">
      <c r="B617" s="43"/>
      <c r="C617" s="32"/>
      <c r="D617" s="32"/>
      <c r="E617" s="32"/>
      <c r="F617" s="32"/>
      <c r="G617" s="32"/>
      <c r="H617" s="25"/>
      <c r="I617" s="32"/>
      <c r="J617" s="25"/>
      <c r="K617" s="32"/>
      <c r="L617" s="25"/>
      <c r="M617" s="32"/>
      <c r="N617" s="25"/>
      <c r="O617" s="32"/>
      <c r="P617" s="25"/>
    </row>
    <row r="618" spans="2:16" ht="17.25" customHeight="1">
      <c r="B618" s="5"/>
    </row>
    <row r="619" spans="2:16" ht="15" thickBot="1">
      <c r="H619" s="33"/>
      <c r="I619" s="34"/>
      <c r="J619" s="33"/>
      <c r="K619" s="34"/>
      <c r="L619" s="35" t="s">
        <v>59</v>
      </c>
      <c r="M619" s="34"/>
      <c r="N619" s="33"/>
      <c r="O619" s="34"/>
      <c r="P619" s="33"/>
    </row>
    <row r="620" spans="2:16">
      <c r="B620" s="6" t="s">
        <v>201</v>
      </c>
      <c r="H620" s="10">
        <v>43465</v>
      </c>
      <c r="I620" s="8"/>
      <c r="J620" s="10">
        <v>43830</v>
      </c>
      <c r="K620" s="8"/>
      <c r="L620" s="10">
        <v>44196</v>
      </c>
      <c r="M620" s="8"/>
      <c r="N620" s="10">
        <v>44561</v>
      </c>
      <c r="O620" s="8"/>
      <c r="P620" s="10">
        <v>44926</v>
      </c>
    </row>
    <row r="622" spans="2:16">
      <c r="C622" t="s">
        <v>281</v>
      </c>
      <c r="H622" s="7">
        <v>1628485.3166666669</v>
      </c>
      <c r="J622" s="7">
        <v>2267119.7936333334</v>
      </c>
      <c r="L622" s="7">
        <v>2984898.7559823333</v>
      </c>
      <c r="N622" s="7">
        <v>3781158.6196013368</v>
      </c>
      <c r="P622" s="7">
        <v>4662342.9128653286</v>
      </c>
    </row>
    <row r="623" spans="2:16">
      <c r="C623" t="s">
        <v>165</v>
      </c>
      <c r="H623" s="7">
        <v>0</v>
      </c>
      <c r="J623" s="7">
        <v>0</v>
      </c>
      <c r="L623" s="7">
        <v>0</v>
      </c>
      <c r="N623" s="7">
        <v>0</v>
      </c>
      <c r="P623" s="7">
        <v>0</v>
      </c>
    </row>
    <row r="624" spans="2:16">
      <c r="C624" t="s">
        <v>202</v>
      </c>
      <c r="H624" s="7">
        <v>1725710</v>
      </c>
      <c r="J624" s="7">
        <v>1725710</v>
      </c>
      <c r="L624" s="7">
        <v>1725710</v>
      </c>
      <c r="N624" s="7">
        <v>1725710</v>
      </c>
      <c r="P624" s="7">
        <v>1725710</v>
      </c>
    </row>
    <row r="625" spans="2:16" ht="15" thickBot="1">
      <c r="C625" t="s">
        <v>203</v>
      </c>
      <c r="H625" s="54">
        <v>5000</v>
      </c>
      <c r="J625" s="54">
        <v>5000</v>
      </c>
      <c r="L625" s="54">
        <v>5000</v>
      </c>
      <c r="N625" s="54">
        <v>5000</v>
      </c>
      <c r="P625" s="54">
        <v>5000</v>
      </c>
    </row>
    <row r="626" spans="2:16" ht="15" thickTop="1"/>
    <row r="627" spans="2:16">
      <c r="C627" t="s">
        <v>166</v>
      </c>
      <c r="H627" s="7">
        <v>3359195.3166666669</v>
      </c>
      <c r="J627" s="7">
        <v>3997829.7936333334</v>
      </c>
      <c r="L627" s="7">
        <v>4715608.7559823338</v>
      </c>
      <c r="N627" s="7">
        <v>5511868.6196013372</v>
      </c>
      <c r="P627" s="7">
        <v>6393052.9128653286</v>
      </c>
    </row>
    <row r="629" spans="2:16">
      <c r="B629" s="6" t="s">
        <v>204</v>
      </c>
    </row>
    <row r="631" spans="2:16">
      <c r="C631" t="s">
        <v>205</v>
      </c>
      <c r="H631" s="7">
        <v>273019.77333333332</v>
      </c>
      <c r="J631" s="7">
        <v>271763.1933333333</v>
      </c>
      <c r="L631" s="7">
        <v>275238.24333333329</v>
      </c>
      <c r="N631" s="7">
        <v>276038.27666666661</v>
      </c>
      <c r="P631" s="7">
        <v>273716.6333333333</v>
      </c>
    </row>
    <row r="632" spans="2:16" ht="15" thickBot="1">
      <c r="C632" t="s">
        <v>206</v>
      </c>
      <c r="H632" s="54">
        <v>420078</v>
      </c>
      <c r="J632" s="54">
        <v>420078</v>
      </c>
      <c r="L632" s="54">
        <v>420078</v>
      </c>
      <c r="N632" s="54">
        <v>420078</v>
      </c>
      <c r="P632" s="54">
        <v>420078</v>
      </c>
    </row>
    <row r="633" spans="2:16" ht="15" thickTop="1"/>
    <row r="634" spans="2:16">
      <c r="C634" t="s">
        <v>167</v>
      </c>
      <c r="H634" s="7">
        <v>693097.77333333332</v>
      </c>
      <c r="J634" s="7">
        <v>691841.19333333336</v>
      </c>
      <c r="L634" s="7">
        <v>695316.24333333329</v>
      </c>
      <c r="N634" s="7">
        <v>696116.27666666661</v>
      </c>
      <c r="P634" s="7">
        <v>693794.6333333333</v>
      </c>
    </row>
    <row r="636" spans="2:16">
      <c r="B636" s="6" t="s">
        <v>169</v>
      </c>
      <c r="H636" s="7">
        <v>2666097.5433333335</v>
      </c>
      <c r="J636" s="7">
        <v>3305988.6003</v>
      </c>
      <c r="L636" s="7">
        <v>4020292.5126490006</v>
      </c>
      <c r="N636" s="7">
        <v>4815752.3429346709</v>
      </c>
      <c r="P636" s="7">
        <v>5699258.2795319948</v>
      </c>
    </row>
    <row r="637" spans="2:16">
      <c r="B637" s="6"/>
    </row>
    <row r="638" spans="2:16" ht="6.75" customHeight="1">
      <c r="B638" s="32"/>
      <c r="C638" s="32"/>
      <c r="D638" s="32"/>
      <c r="E638" s="32"/>
      <c r="F638" s="32"/>
      <c r="G638" s="32"/>
      <c r="H638" s="25"/>
      <c r="I638" s="32"/>
      <c r="J638" s="25"/>
      <c r="K638" s="32"/>
      <c r="L638" s="25"/>
      <c r="M638" s="32"/>
      <c r="N638" s="25"/>
      <c r="O638" s="32"/>
      <c r="P638" s="25"/>
    </row>
    <row r="639" spans="2:16" ht="26">
      <c r="B639" s="23" t="s">
        <v>53</v>
      </c>
      <c r="G639" s="5"/>
      <c r="H639"/>
      <c r="J639"/>
      <c r="L639"/>
      <c r="N639" t="s">
        <v>284</v>
      </c>
      <c r="P639" t="s">
        <v>299</v>
      </c>
    </row>
    <row r="640" spans="2:16" ht="15.75" customHeight="1">
      <c r="B640" s="5"/>
    </row>
    <row r="641" spans="2:16" ht="15" thickBot="1">
      <c r="H641" s="33"/>
      <c r="I641" s="34"/>
      <c r="J641" s="33"/>
      <c r="K641" s="34"/>
      <c r="L641" s="35" t="s">
        <v>59</v>
      </c>
      <c r="M641" s="34"/>
      <c r="N641" s="33"/>
      <c r="O641" s="34"/>
      <c r="P641" s="33"/>
    </row>
    <row r="642" spans="2:16">
      <c r="B642" s="22" t="s">
        <v>74</v>
      </c>
      <c r="H642" s="10">
        <v>43465</v>
      </c>
      <c r="I642" s="8"/>
      <c r="J642" s="10">
        <v>43830</v>
      </c>
      <c r="K642" s="8"/>
      <c r="L642" s="10">
        <v>44196</v>
      </c>
      <c r="M642" s="8"/>
      <c r="N642" s="10">
        <v>44561</v>
      </c>
      <c r="O642" s="8"/>
      <c r="P642" s="10">
        <v>44926</v>
      </c>
    </row>
    <row r="643" spans="2:16">
      <c r="H643"/>
      <c r="J643"/>
      <c r="L643"/>
      <c r="N643"/>
      <c r="P643"/>
    </row>
    <row r="644" spans="2:16">
      <c r="B644" t="s">
        <v>115</v>
      </c>
      <c r="H644" s="94">
        <v>0.24485225667468483</v>
      </c>
      <c r="J644" s="94">
        <v>0.21009727617843899</v>
      </c>
      <c r="L644" s="94">
        <v>0.18382549689476357</v>
      </c>
      <c r="N644" s="94">
        <v>0.1632829676461349</v>
      </c>
      <c r="P644" s="94">
        <v>0.14680076500202208</v>
      </c>
    </row>
    <row r="645" spans="2:16">
      <c r="B645" t="s">
        <v>116</v>
      </c>
      <c r="H645" s="94">
        <v>0.24485225667468483</v>
      </c>
      <c r="J645" s="94">
        <v>0.21009727617843899</v>
      </c>
      <c r="L645" s="94">
        <v>0.18382549689476357</v>
      </c>
      <c r="N645" s="94">
        <v>0.1632829676461349</v>
      </c>
      <c r="P645" s="94">
        <v>0.14680076500202208</v>
      </c>
    </row>
    <row r="646" spans="2:16">
      <c r="B646" t="s">
        <v>242</v>
      </c>
      <c r="H646" s="94">
        <v>0.18754002502656619</v>
      </c>
      <c r="J646" s="94">
        <v>0.15124069089488928</v>
      </c>
      <c r="L646" s="94">
        <v>0.12436905982011401</v>
      </c>
      <c r="N646" s="94">
        <v>0.10382593713183039</v>
      </c>
      <c r="P646" s="94">
        <v>8.7730714327454273E-2</v>
      </c>
    </row>
    <row r="647" spans="2:16">
      <c r="B647" t="s">
        <v>48</v>
      </c>
      <c r="H647" s="94">
        <v>7.88953342215684E-2</v>
      </c>
      <c r="J647" s="94">
        <v>6.7452653845692351E-2</v>
      </c>
      <c r="L647" s="94">
        <v>4.9647116629889403E-2</v>
      </c>
      <c r="N647" s="94">
        <v>3.9899578015915094E-2</v>
      </c>
      <c r="P647" s="94">
        <v>3.3028096147772128E-2</v>
      </c>
    </row>
    <row r="648" spans="2:16">
      <c r="B648" t="s">
        <v>207</v>
      </c>
      <c r="H648" s="97">
        <v>7465</v>
      </c>
      <c r="J648" s="7">
        <v>41779.20000000007</v>
      </c>
      <c r="L648" s="7">
        <v>44453.068800000008</v>
      </c>
      <c r="N648" s="7">
        <v>47298.065203200094</v>
      </c>
      <c r="P648" s="7">
        <v>50325.141376204905</v>
      </c>
    </row>
    <row r="649" spans="2:16">
      <c r="B649" t="s">
        <v>118</v>
      </c>
      <c r="H649" s="97">
        <v>570349.54333333345</v>
      </c>
      <c r="J649" s="7">
        <v>639891.0569666666</v>
      </c>
      <c r="L649" s="7">
        <v>714303.91234900057</v>
      </c>
      <c r="N649" s="7">
        <v>795459.83028567024</v>
      </c>
      <c r="P649" s="7">
        <v>883505.93659732398</v>
      </c>
    </row>
    <row r="650" spans="2:16">
      <c r="B650" t="s">
        <v>119</v>
      </c>
      <c r="H650" s="94">
        <v>8.6968961024372956E-3</v>
      </c>
      <c r="J650" s="94">
        <v>-4.7131808929577122E-4</v>
      </c>
      <c r="L650" s="94">
        <v>1.0511379257885664E-3</v>
      </c>
      <c r="N650" s="94">
        <v>1.9899878698283516E-4</v>
      </c>
      <c r="P650" s="94">
        <v>-4.8209358953839505E-4</v>
      </c>
    </row>
    <row r="651" spans="2:16">
      <c r="B651" t="s">
        <v>280</v>
      </c>
      <c r="H651" s="94">
        <v>5.1773405794981527E-2</v>
      </c>
      <c r="J651" s="94">
        <v>5.0729081708906873E-2</v>
      </c>
      <c r="L651" s="94">
        <v>4.9658448745591756E-2</v>
      </c>
      <c r="N651" s="94">
        <v>4.8908336855127153E-2</v>
      </c>
      <c r="P651" s="94">
        <v>4.8312151770506746E-2</v>
      </c>
    </row>
    <row r="652" spans="2:16">
      <c r="B652" t="s">
        <v>124</v>
      </c>
      <c r="H652" s="94">
        <v>0</v>
      </c>
      <c r="J652" s="94">
        <v>0</v>
      </c>
      <c r="L652" s="94">
        <v>0</v>
      </c>
      <c r="N652" s="94">
        <v>0</v>
      </c>
      <c r="P652" s="94">
        <v>0</v>
      </c>
    </row>
    <row r="653" spans="2:16">
      <c r="B653" t="s">
        <v>127</v>
      </c>
      <c r="H653" s="94">
        <v>8.6968961024372956E-3</v>
      </c>
      <c r="J653" s="94">
        <v>-4.7131808929577122E-4</v>
      </c>
      <c r="L653" s="94">
        <v>1.0511379257885664E-3</v>
      </c>
      <c r="N653" s="94">
        <v>1.9899878698283516E-4</v>
      </c>
      <c r="P653" s="94">
        <v>-4.8209358953839505E-4</v>
      </c>
    </row>
    <row r="654" spans="2:16">
      <c r="B654" t="s">
        <v>128</v>
      </c>
      <c r="H654" s="94">
        <v>0.42560885642618468</v>
      </c>
      <c r="J654" s="94">
        <v>0.30516305105544256</v>
      </c>
      <c r="L654" s="94">
        <v>0.23294466585835805</v>
      </c>
      <c r="N654" s="94">
        <v>0.18410131568086954</v>
      </c>
      <c r="P654" s="94">
        <v>0.14880815210285531</v>
      </c>
    </row>
    <row r="655" spans="2:16">
      <c r="B655" t="s">
        <v>73</v>
      </c>
      <c r="H655" s="94">
        <v>0.23233251633986926</v>
      </c>
      <c r="J655" s="94">
        <v>0.21835762813897489</v>
      </c>
      <c r="L655" s="94">
        <v>0.20522333471708168</v>
      </c>
      <c r="N655" s="94">
        <v>0.1928790739822196</v>
      </c>
      <c r="P655" s="94">
        <v>0.18127732517125902</v>
      </c>
    </row>
    <row r="656" spans="2:16">
      <c r="B656" t="s">
        <v>132</v>
      </c>
      <c r="H656" s="94">
        <v>0.10541780024509805</v>
      </c>
      <c r="J656" s="94">
        <v>0.1018332282337277</v>
      </c>
      <c r="L656" s="94">
        <v>9.8376190777232822E-2</v>
      </c>
      <c r="N656" s="94">
        <v>9.5041831172286775E-2</v>
      </c>
      <c r="P656" s="94">
        <v>9.1825494909526961E-2</v>
      </c>
    </row>
    <row r="657" spans="2:16">
      <c r="B657" t="s">
        <v>134</v>
      </c>
      <c r="H657" s="94">
        <v>0</v>
      </c>
      <c r="J657" s="94">
        <v>0</v>
      </c>
      <c r="L657" s="94">
        <v>0</v>
      </c>
      <c r="N657" s="94">
        <v>0</v>
      </c>
      <c r="P657" s="94">
        <v>0</v>
      </c>
    </row>
    <row r="658" spans="2:16">
      <c r="B658" t="s">
        <v>135</v>
      </c>
      <c r="H658" s="94">
        <v>0.44316811683006535</v>
      </c>
      <c r="J658" s="94">
        <v>0.42202408460643032</v>
      </c>
      <c r="L658" s="94">
        <v>0.40197571627154732</v>
      </c>
      <c r="N658" s="94">
        <v>0.38296273632679312</v>
      </c>
      <c r="P658" s="94">
        <v>0.36492831499031297</v>
      </c>
    </row>
    <row r="659" spans="2:16">
      <c r="B659" t="s">
        <v>47</v>
      </c>
      <c r="H659" s="94">
        <v>0.21144753370098041</v>
      </c>
      <c r="J659" s="94">
        <v>0.24145520889962346</v>
      </c>
      <c r="L659" s="94">
        <v>0.27013906984851088</v>
      </c>
      <c r="N659" s="94">
        <v>0.29953116090540921</v>
      </c>
      <c r="P659" s="94">
        <v>0.32910013629589241</v>
      </c>
    </row>
    <row r="660" spans="2:16">
      <c r="B660" t="s">
        <v>114</v>
      </c>
      <c r="H660" s="94">
        <v>0.23172058312908494</v>
      </c>
      <c r="J660" s="94">
        <v>0.18056887570680685</v>
      </c>
      <c r="L660" s="94">
        <v>0.13183664642303644</v>
      </c>
      <c r="N660" s="94">
        <v>8.3431575421383908E-2</v>
      </c>
      <c r="P660" s="94">
        <v>3.5828178694420565E-2</v>
      </c>
    </row>
    <row r="661" spans="2:16">
      <c r="B661" t="s">
        <v>38</v>
      </c>
      <c r="H661" s="94">
        <v>4.8466398910953075</v>
      </c>
      <c r="J661" s="94">
        <v>5.778536797399334</v>
      </c>
      <c r="L661" s="94">
        <v>6.7819625978760287</v>
      </c>
      <c r="N661" s="94">
        <v>7.9180286460112193</v>
      </c>
      <c r="P661" s="94">
        <v>9.2146185711324016</v>
      </c>
    </row>
    <row r="662" spans="2:16">
      <c r="B662" t="s">
        <v>39</v>
      </c>
      <c r="H662" s="7">
        <v>455503.3666666667</v>
      </c>
      <c r="J662" s="7">
        <v>470924.71113333339</v>
      </c>
      <c r="L662" s="7">
        <v>518137.47266733338</v>
      </c>
      <c r="N662" s="7">
        <v>560729.42581988673</v>
      </c>
      <c r="P662" s="7">
        <v>605840.86228392564</v>
      </c>
    </row>
    <row r="663" spans="2:16">
      <c r="B663" t="s">
        <v>44</v>
      </c>
      <c r="H663" s="7">
        <v>455503.3666666667</v>
      </c>
      <c r="J663" s="7">
        <v>470924.71113333339</v>
      </c>
      <c r="L663" s="7">
        <v>518137.47266733338</v>
      </c>
      <c r="N663" s="7">
        <v>560729.42581988673</v>
      </c>
      <c r="P663" s="7">
        <v>605840.86228392564</v>
      </c>
    </row>
    <row r="664" spans="2:16">
      <c r="B664" t="s">
        <v>51</v>
      </c>
      <c r="H664" s="94">
        <v>0.87369721711601323</v>
      </c>
      <c r="J664" s="94">
        <v>0.92126435252692096</v>
      </c>
      <c r="L664" s="94">
        <v>0.96653954435419642</v>
      </c>
      <c r="N664" s="94">
        <v>1.011610255750903</v>
      </c>
      <c r="P664" s="94">
        <v>1.0559973162151064</v>
      </c>
    </row>
    <row r="666" spans="2:16" ht="6.75" customHeight="1">
      <c r="B666" s="32"/>
      <c r="C666" s="32"/>
      <c r="D666" s="32"/>
      <c r="E666" s="32"/>
      <c r="F666" s="32"/>
      <c r="G666" s="32"/>
      <c r="H666" s="25"/>
      <c r="I666" s="32"/>
      <c r="J666" s="25"/>
      <c r="K666" s="32"/>
      <c r="L666" s="25"/>
      <c r="M666" s="32"/>
      <c r="N666" s="25"/>
      <c r="O666" s="32"/>
      <c r="P666" s="25"/>
    </row>
    <row r="669" spans="2:16" ht="26">
      <c r="B669" s="5">
        <v>0</v>
      </c>
    </row>
    <row r="671" spans="2:16" ht="26">
      <c r="B671" s="5" t="s">
        <v>200</v>
      </c>
      <c r="N671" s="7" t="s">
        <v>284</v>
      </c>
      <c r="P671" s="7" t="s">
        <v>300</v>
      </c>
    </row>
    <row r="672" spans="2:16" ht="6.75" customHeight="1">
      <c r="B672" s="43"/>
      <c r="C672" s="32"/>
      <c r="D672" s="32"/>
      <c r="E672" s="32"/>
      <c r="F672" s="32"/>
      <c r="G672" s="32"/>
      <c r="H672" s="25"/>
      <c r="I672" s="32"/>
      <c r="J672" s="25"/>
      <c r="K672" s="32"/>
      <c r="L672" s="25"/>
      <c r="M672" s="32"/>
      <c r="N672" s="25"/>
      <c r="O672" s="32"/>
      <c r="P672" s="25"/>
    </row>
    <row r="673" spans="2:16" ht="17.25" customHeight="1">
      <c r="B673" s="5"/>
    </row>
    <row r="674" spans="2:16" ht="15" thickBot="1">
      <c r="H674" s="33"/>
      <c r="I674" s="34"/>
      <c r="J674" s="33"/>
      <c r="K674" s="34"/>
      <c r="L674" s="35" t="s">
        <v>59</v>
      </c>
      <c r="M674" s="34"/>
      <c r="N674" s="33"/>
      <c r="O674" s="34"/>
      <c r="P674" s="33"/>
    </row>
    <row r="675" spans="2:16">
      <c r="B675" s="6" t="s">
        <v>201</v>
      </c>
      <c r="H675" s="10">
        <v>43465</v>
      </c>
      <c r="I675" s="8"/>
      <c r="J675" s="10">
        <v>43830</v>
      </c>
      <c r="K675" s="8"/>
      <c r="L675" s="10">
        <v>44196</v>
      </c>
      <c r="M675" s="8"/>
      <c r="N675" s="10">
        <v>44561</v>
      </c>
      <c r="O675" s="8"/>
      <c r="P675" s="10">
        <v>44926</v>
      </c>
    </row>
    <row r="677" spans="2:16">
      <c r="C677" t="s">
        <v>281</v>
      </c>
      <c r="H677" s="7">
        <v>1624942.8686666666</v>
      </c>
      <c r="J677" s="7">
        <v>2256979.5362333334</v>
      </c>
      <c r="L677" s="7">
        <v>2966170.2762123332</v>
      </c>
      <c r="N677" s="7">
        <v>3752305.491342837</v>
      </c>
      <c r="P677" s="7">
        <v>4622083.9931939049</v>
      </c>
    </row>
    <row r="678" spans="2:16">
      <c r="C678" t="s">
        <v>165</v>
      </c>
      <c r="H678" s="7">
        <v>0</v>
      </c>
      <c r="J678" s="7">
        <v>0</v>
      </c>
      <c r="L678" s="7">
        <v>0</v>
      </c>
      <c r="N678" s="7">
        <v>0</v>
      </c>
      <c r="P678" s="7">
        <v>0</v>
      </c>
    </row>
    <row r="679" spans="2:16">
      <c r="C679" t="s">
        <v>202</v>
      </c>
      <c r="H679" s="7">
        <v>1725710</v>
      </c>
      <c r="J679" s="7">
        <v>1725710</v>
      </c>
      <c r="L679" s="7">
        <v>1725710</v>
      </c>
      <c r="N679" s="7">
        <v>1725710</v>
      </c>
      <c r="P679" s="7">
        <v>1725710</v>
      </c>
    </row>
    <row r="680" spans="2:16" ht="15" thickBot="1">
      <c r="C680" t="s">
        <v>203</v>
      </c>
      <c r="H680" s="54">
        <v>5000</v>
      </c>
      <c r="J680" s="54">
        <v>5000</v>
      </c>
      <c r="L680" s="54">
        <v>5000</v>
      </c>
      <c r="N680" s="54">
        <v>5000</v>
      </c>
      <c r="P680" s="54">
        <v>5000</v>
      </c>
    </row>
    <row r="681" spans="2:16" ht="15" thickTop="1"/>
    <row r="682" spans="2:16">
      <c r="C682" t="s">
        <v>166</v>
      </c>
      <c r="H682" s="7">
        <v>3355652.8686666666</v>
      </c>
      <c r="J682" s="7">
        <v>3987689.5362333334</v>
      </c>
      <c r="L682" s="7">
        <v>4696880.2762123328</v>
      </c>
      <c r="N682" s="7">
        <v>5483015.491342837</v>
      </c>
      <c r="P682" s="7">
        <v>6352793.9931939049</v>
      </c>
    </row>
    <row r="684" spans="2:16">
      <c r="B684" s="6" t="s">
        <v>204</v>
      </c>
    </row>
    <row r="686" spans="2:16">
      <c r="C686" t="s">
        <v>205</v>
      </c>
      <c r="H686" s="7">
        <v>280547.47533333336</v>
      </c>
      <c r="J686" s="7">
        <v>283940.3583333334</v>
      </c>
      <c r="L686" s="7">
        <v>290404.34883333341</v>
      </c>
      <c r="N686" s="7">
        <v>293086.30766666675</v>
      </c>
      <c r="P686" s="7">
        <v>291871.67933333339</v>
      </c>
    </row>
    <row r="687" spans="2:16" ht="15" thickBot="1">
      <c r="C687" t="s">
        <v>206</v>
      </c>
      <c r="H687" s="54">
        <v>420078</v>
      </c>
      <c r="J687" s="54">
        <v>420078</v>
      </c>
      <c r="L687" s="54">
        <v>420078</v>
      </c>
      <c r="N687" s="54">
        <v>420078</v>
      </c>
      <c r="P687" s="54">
        <v>420078</v>
      </c>
    </row>
    <row r="688" spans="2:16" ht="15" thickTop="1"/>
    <row r="689" spans="2:16">
      <c r="C689" t="s">
        <v>167</v>
      </c>
      <c r="H689" s="7">
        <v>700625.47533333336</v>
      </c>
      <c r="J689" s="7">
        <v>704018.3583333334</v>
      </c>
      <c r="L689" s="7">
        <v>710482.34883333347</v>
      </c>
      <c r="N689" s="7">
        <v>713164.30766666681</v>
      </c>
      <c r="P689" s="7">
        <v>711949.67933333339</v>
      </c>
    </row>
    <row r="691" spans="2:16">
      <c r="B691" s="6" t="s">
        <v>169</v>
      </c>
      <c r="H691" s="7">
        <v>2655027.3933333331</v>
      </c>
      <c r="J691" s="7">
        <v>3283671.1779</v>
      </c>
      <c r="L691" s="7">
        <v>3986397.9273789991</v>
      </c>
      <c r="N691" s="7">
        <v>4769851.1836761702</v>
      </c>
      <c r="P691" s="7">
        <v>5640844.313860571</v>
      </c>
    </row>
    <row r="692" spans="2:16">
      <c r="B692" s="6"/>
    </row>
    <row r="693" spans="2:16" ht="6.75" customHeight="1">
      <c r="B693" s="32"/>
      <c r="C693" s="32"/>
      <c r="D693" s="32"/>
      <c r="E693" s="32"/>
      <c r="F693" s="32"/>
      <c r="G693" s="32"/>
      <c r="H693" s="25"/>
      <c r="I693" s="32"/>
      <c r="J693" s="25"/>
      <c r="K693" s="32"/>
      <c r="L693" s="25"/>
      <c r="M693" s="32"/>
      <c r="N693" s="25"/>
      <c r="O693" s="32"/>
      <c r="P693" s="25"/>
    </row>
    <row r="694" spans="2:16" ht="26">
      <c r="B694" s="23" t="s">
        <v>53</v>
      </c>
      <c r="G694" s="5"/>
      <c r="H694"/>
      <c r="J694"/>
      <c r="L694"/>
      <c r="N694" t="s">
        <v>284</v>
      </c>
      <c r="P694" t="s">
        <v>300</v>
      </c>
    </row>
    <row r="695" spans="2:16" ht="15.75" customHeight="1">
      <c r="B695" s="5"/>
    </row>
    <row r="696" spans="2:16" ht="15" thickBot="1">
      <c r="H696" s="33"/>
      <c r="I696" s="34"/>
      <c r="J696" s="33"/>
      <c r="K696" s="34"/>
      <c r="L696" s="35" t="s">
        <v>59</v>
      </c>
      <c r="M696" s="34"/>
      <c r="N696" s="33"/>
      <c r="O696" s="34"/>
      <c r="P696" s="33"/>
    </row>
    <row r="697" spans="2:16">
      <c r="B697" s="22" t="s">
        <v>74</v>
      </c>
      <c r="H697" s="10">
        <v>43465</v>
      </c>
      <c r="I697" s="8"/>
      <c r="J697" s="10">
        <v>43830</v>
      </c>
      <c r="K697" s="8"/>
      <c r="L697" s="10">
        <v>44196</v>
      </c>
      <c r="M697" s="8"/>
      <c r="N697" s="10">
        <v>44561</v>
      </c>
      <c r="O697" s="8"/>
      <c r="P697" s="10">
        <v>44926</v>
      </c>
    </row>
    <row r="698" spans="2:16">
      <c r="H698"/>
      <c r="J698"/>
      <c r="L698"/>
      <c r="N698"/>
      <c r="P698"/>
    </row>
    <row r="699" spans="2:16">
      <c r="B699" t="s">
        <v>115</v>
      </c>
      <c r="H699" s="94">
        <v>0.24587316938392217</v>
      </c>
      <c r="J699" s="94">
        <v>0.21152519919616403</v>
      </c>
      <c r="L699" s="94">
        <v>0.18538848410597672</v>
      </c>
      <c r="N699" s="94">
        <v>0.16485426981333365</v>
      </c>
      <c r="P699" s="94">
        <v>0.14832096559084104</v>
      </c>
    </row>
    <row r="700" spans="2:16">
      <c r="B700" t="s">
        <v>116</v>
      </c>
      <c r="H700" s="94">
        <v>0.24587316938392217</v>
      </c>
      <c r="J700" s="94">
        <v>0.21152519919616403</v>
      </c>
      <c r="L700" s="94">
        <v>0.18538848410597672</v>
      </c>
      <c r="N700" s="94">
        <v>0.16485426981333365</v>
      </c>
      <c r="P700" s="94">
        <v>0.14832096559084104</v>
      </c>
    </row>
    <row r="701" spans="2:16">
      <c r="B701" t="s">
        <v>242</v>
      </c>
      <c r="H701" s="94">
        <v>0.18832197409920512</v>
      </c>
      <c r="J701" s="94">
        <v>0.15226859600472056</v>
      </c>
      <c r="L701" s="94">
        <v>0.12542651514188977</v>
      </c>
      <c r="N701" s="94">
        <v>0.10482507330860691</v>
      </c>
      <c r="P701" s="94">
        <v>8.8639212887228577E-2</v>
      </c>
    </row>
    <row r="702" spans="2:16">
      <c r="B702" t="s">
        <v>48</v>
      </c>
      <c r="H702" s="94">
        <v>8.1247374217939844E-2</v>
      </c>
      <c r="J702" s="94">
        <v>7.0600522117535591E-2</v>
      </c>
      <c r="L702" s="94">
        <v>5.2685048940015709E-2</v>
      </c>
      <c r="N702" s="94">
        <v>4.2655071182931471E-2</v>
      </c>
      <c r="P702" s="94">
        <v>3.5471325324555165E-2</v>
      </c>
    </row>
    <row r="703" spans="2:16">
      <c r="B703" t="s">
        <v>207</v>
      </c>
      <c r="H703" s="97">
        <v>7465</v>
      </c>
      <c r="J703" s="7">
        <v>41779.20000000007</v>
      </c>
      <c r="L703" s="7">
        <v>44453.068800000008</v>
      </c>
      <c r="N703" s="7">
        <v>47298.065203200094</v>
      </c>
      <c r="P703" s="7">
        <v>50325.141376204905</v>
      </c>
    </row>
    <row r="704" spans="2:16">
      <c r="B704" t="s">
        <v>118</v>
      </c>
      <c r="H704" s="97">
        <v>559279.39333333308</v>
      </c>
      <c r="J704" s="7">
        <v>628643.78456666693</v>
      </c>
      <c r="L704" s="7">
        <v>702726.74947899906</v>
      </c>
      <c r="N704" s="7">
        <v>783453.25629717112</v>
      </c>
      <c r="P704" s="7">
        <v>870993.13018440083</v>
      </c>
    </row>
    <row r="705" spans="2:16">
      <c r="B705" t="s">
        <v>119</v>
      </c>
      <c r="H705" s="94">
        <v>1.156842125638936E-2</v>
      </c>
      <c r="J705" s="94">
        <v>1.2779088488952782E-3</v>
      </c>
      <c r="L705" s="94">
        <v>1.9685255160457075E-3</v>
      </c>
      <c r="N705" s="94">
        <v>6.7277750043801779E-4</v>
      </c>
      <c r="P705" s="94">
        <v>-2.5464700816876015E-4</v>
      </c>
    </row>
    <row r="706" spans="2:16">
      <c r="B706" t="s">
        <v>280</v>
      </c>
      <c r="H706" s="94">
        <v>5.198927526947375E-2</v>
      </c>
      <c r="J706" s="94">
        <v>5.1019920801106275E-2</v>
      </c>
      <c r="L706" s="94">
        <v>4.9953486942181616E-2</v>
      </c>
      <c r="N706" s="94">
        <v>4.9182669390916464E-2</v>
      </c>
      <c r="P706" s="94">
        <v>4.8556698133667378E-2</v>
      </c>
    </row>
    <row r="707" spans="2:16">
      <c r="B707" t="s">
        <v>124</v>
      </c>
      <c r="H707" s="94">
        <v>0</v>
      </c>
      <c r="J707" s="94">
        <v>0</v>
      </c>
      <c r="L707" s="94">
        <v>0</v>
      </c>
      <c r="N707" s="94">
        <v>0</v>
      </c>
      <c r="P707" s="94">
        <v>0</v>
      </c>
    </row>
    <row r="708" spans="2:16">
      <c r="B708" t="s">
        <v>127</v>
      </c>
      <c r="H708" s="94">
        <v>1.156842125638936E-2</v>
      </c>
      <c r="J708" s="94">
        <v>1.2779088488952782E-3</v>
      </c>
      <c r="L708" s="94">
        <v>1.9685255160457075E-3</v>
      </c>
      <c r="N708" s="94">
        <v>6.7277750043801779E-4</v>
      </c>
      <c r="P708" s="94">
        <v>-2.5464700816876015E-4</v>
      </c>
    </row>
    <row r="709" spans="2:16">
      <c r="B709" t="s">
        <v>128</v>
      </c>
      <c r="H709" s="94">
        <v>0.4311692976062757</v>
      </c>
      <c r="J709" s="94">
        <v>0.31192943800822742</v>
      </c>
      <c r="L709" s="94">
        <v>0.23952851073020245</v>
      </c>
      <c r="N709" s="94">
        <v>0.19006030007739236</v>
      </c>
      <c r="P709" s="94">
        <v>0.15403218123722787</v>
      </c>
    </row>
    <row r="710" spans="2:16">
      <c r="B710" t="s">
        <v>73</v>
      </c>
      <c r="H710" s="94">
        <v>0.24929046670751639</v>
      </c>
      <c r="J710" s="94">
        <v>0.23429555141683869</v>
      </c>
      <c r="L710" s="94">
        <v>0.22020258591808148</v>
      </c>
      <c r="N710" s="94">
        <v>0.20695731759218183</v>
      </c>
      <c r="P710" s="94">
        <v>0.19450875713550916</v>
      </c>
    </row>
    <row r="711" spans="2:16">
      <c r="B711" t="s">
        <v>132</v>
      </c>
      <c r="H711" s="94">
        <v>0.10541780024509805</v>
      </c>
      <c r="J711" s="94">
        <v>0.1018332282337277</v>
      </c>
      <c r="L711" s="94">
        <v>9.8376190777232822E-2</v>
      </c>
      <c r="N711" s="94">
        <v>9.5041831172286775E-2</v>
      </c>
      <c r="P711" s="94">
        <v>9.1825494909526961E-2</v>
      </c>
    </row>
    <row r="712" spans="2:16">
      <c r="B712" t="s">
        <v>134</v>
      </c>
      <c r="H712" s="94">
        <v>0</v>
      </c>
      <c r="J712" s="94">
        <v>0</v>
      </c>
      <c r="L712" s="94">
        <v>0</v>
      </c>
      <c r="N712" s="94">
        <v>0</v>
      </c>
      <c r="P712" s="94">
        <v>0</v>
      </c>
    </row>
    <row r="713" spans="2:16">
      <c r="B713" t="s">
        <v>135</v>
      </c>
      <c r="H713" s="94">
        <v>0.46012606719771248</v>
      </c>
      <c r="J713" s="94">
        <v>0.43796200788429412</v>
      </c>
      <c r="L713" s="94">
        <v>0.41695496747254712</v>
      </c>
      <c r="N713" s="94">
        <v>0.39704097993675536</v>
      </c>
      <c r="P713" s="94">
        <v>0.37815974695456311</v>
      </c>
    </row>
    <row r="714" spans="2:16">
      <c r="B714" t="s">
        <v>47</v>
      </c>
      <c r="H714" s="94">
        <v>0.21144753370098041</v>
      </c>
      <c r="J714" s="94">
        <v>0.24120020212717763</v>
      </c>
      <c r="L714" s="94">
        <v>0.26945302014350508</v>
      </c>
      <c r="N714" s="94">
        <v>0.29834028227844245</v>
      </c>
      <c r="P714" s="94">
        <v>0.32737582269802729</v>
      </c>
    </row>
    <row r="715" spans="2:16">
      <c r="B715" t="s">
        <v>114</v>
      </c>
      <c r="H715" s="94">
        <v>0.24867853349673208</v>
      </c>
      <c r="J715" s="94">
        <v>0.19676180575711649</v>
      </c>
      <c r="L715" s="94">
        <v>0.14750194732904204</v>
      </c>
      <c r="N715" s="94">
        <v>9.8700697658312908E-2</v>
      </c>
      <c r="P715" s="94">
        <v>5.0783924256535828E-2</v>
      </c>
    </row>
    <row r="716" spans="2:16">
      <c r="B716" t="s">
        <v>38</v>
      </c>
      <c r="H716" s="94">
        <v>4.7895102116721677</v>
      </c>
      <c r="J716" s="94">
        <v>5.6641840216690369</v>
      </c>
      <c r="L716" s="94">
        <v>6.6108331669674421</v>
      </c>
      <c r="N716" s="94">
        <v>7.6882920701432527</v>
      </c>
      <c r="P716" s="94">
        <v>8.9230941140989533</v>
      </c>
    </row>
    <row r="717" spans="2:16">
      <c r="B717" t="s">
        <v>39</v>
      </c>
      <c r="H717" s="7">
        <v>451960.91866666666</v>
      </c>
      <c r="J717" s="7">
        <v>464504.02413333347</v>
      </c>
      <c r="L717" s="7">
        <v>510056.26316733338</v>
      </c>
      <c r="N717" s="7">
        <v>551541.20131988672</v>
      </c>
      <c r="P717" s="7">
        <v>595877.72728392563</v>
      </c>
    </row>
    <row r="718" spans="2:16">
      <c r="B718" t="s">
        <v>44</v>
      </c>
      <c r="H718" s="7">
        <v>451960.91866666666</v>
      </c>
      <c r="J718" s="7">
        <v>464504.02413333347</v>
      </c>
      <c r="L718" s="7">
        <v>510056.26316733338</v>
      </c>
      <c r="N718" s="7">
        <v>551541.20131988672</v>
      </c>
      <c r="P718" s="7">
        <v>595877.72728392563</v>
      </c>
    </row>
    <row r="719" spans="2:16">
      <c r="B719" t="s">
        <v>51</v>
      </c>
      <c r="H719" s="94">
        <v>0.85673926674836598</v>
      </c>
      <c r="J719" s="94">
        <v>0.90507142247661121</v>
      </c>
      <c r="L719" s="94">
        <v>0.95087424344819071</v>
      </c>
      <c r="N719" s="94">
        <v>0.9963411335139738</v>
      </c>
      <c r="P719" s="94">
        <v>1.0410415706529912</v>
      </c>
    </row>
    <row r="721" spans="2:16" ht="6.75" customHeight="1">
      <c r="B721" s="32"/>
      <c r="C721" s="32"/>
      <c r="D721" s="32"/>
      <c r="E721" s="32"/>
      <c r="F721" s="32"/>
      <c r="G721" s="32"/>
      <c r="H721" s="25"/>
      <c r="I721" s="32"/>
      <c r="J721" s="25"/>
      <c r="K721" s="32"/>
      <c r="L721" s="25"/>
      <c r="M721" s="32"/>
      <c r="N721" s="25"/>
      <c r="O721" s="32"/>
      <c r="P721" s="25"/>
    </row>
    <row r="724" spans="2:16" ht="26">
      <c r="B724" s="5">
        <v>0</v>
      </c>
    </row>
    <row r="726" spans="2:16" ht="26">
      <c r="B726" s="5" t="s">
        <v>200</v>
      </c>
      <c r="N726" s="7" t="s">
        <v>284</v>
      </c>
      <c r="P726" s="7" t="s">
        <v>301</v>
      </c>
    </row>
    <row r="727" spans="2:16" ht="6.75" customHeight="1">
      <c r="B727" s="43"/>
      <c r="C727" s="32"/>
      <c r="D727" s="32"/>
      <c r="E727" s="32"/>
      <c r="F727" s="32"/>
      <c r="G727" s="32"/>
      <c r="H727" s="25"/>
      <c r="I727" s="32"/>
      <c r="J727" s="25"/>
      <c r="K727" s="32"/>
      <c r="L727" s="25"/>
      <c r="M727" s="32"/>
      <c r="N727" s="25"/>
      <c r="O727" s="32"/>
      <c r="P727" s="25"/>
    </row>
    <row r="728" spans="2:16" ht="17.25" customHeight="1">
      <c r="B728" s="5"/>
    </row>
    <row r="729" spans="2:16" ht="15" thickBot="1">
      <c r="H729" s="33"/>
      <c r="I729" s="34"/>
      <c r="J729" s="33"/>
      <c r="K729" s="34"/>
      <c r="L729" s="35" t="s">
        <v>59</v>
      </c>
      <c r="M729" s="34"/>
      <c r="N729" s="33"/>
      <c r="O729" s="34"/>
      <c r="P729" s="33"/>
    </row>
    <row r="730" spans="2:16">
      <c r="B730" s="6" t="s">
        <v>201</v>
      </c>
      <c r="H730" s="10">
        <v>43465</v>
      </c>
      <c r="I730" s="8"/>
      <c r="J730" s="10">
        <v>43830</v>
      </c>
      <c r="K730" s="8"/>
      <c r="L730" s="10">
        <v>44196</v>
      </c>
      <c r="M730" s="8"/>
      <c r="N730" s="10">
        <v>44561</v>
      </c>
      <c r="O730" s="8"/>
      <c r="P730" s="10">
        <v>44926</v>
      </c>
    </row>
    <row r="732" spans="2:16">
      <c r="C732" t="s">
        <v>281</v>
      </c>
      <c r="H732" s="7">
        <v>1612416.9006666667</v>
      </c>
      <c r="J732" s="7">
        <v>2247212.5608333335</v>
      </c>
      <c r="L732" s="7">
        <v>2964210.4362090002</v>
      </c>
      <c r="N732" s="7">
        <v>3758790.481506004</v>
      </c>
      <c r="P732" s="7">
        <v>4637892.4655318959</v>
      </c>
    </row>
    <row r="733" spans="2:16">
      <c r="C733" t="s">
        <v>165</v>
      </c>
      <c r="H733" s="7">
        <v>0</v>
      </c>
      <c r="J733" s="7">
        <v>0</v>
      </c>
      <c r="L733" s="7">
        <v>0</v>
      </c>
      <c r="N733" s="7">
        <v>0</v>
      </c>
      <c r="P733" s="7">
        <v>0</v>
      </c>
    </row>
    <row r="734" spans="2:16">
      <c r="C734" t="s">
        <v>202</v>
      </c>
      <c r="H734" s="7">
        <v>1725710</v>
      </c>
      <c r="J734" s="7">
        <v>1725710</v>
      </c>
      <c r="L734" s="7">
        <v>1725710</v>
      </c>
      <c r="N734" s="7">
        <v>1725710</v>
      </c>
      <c r="P734" s="7">
        <v>1725710</v>
      </c>
    </row>
    <row r="735" spans="2:16" ht="15" thickBot="1">
      <c r="C735" t="s">
        <v>203</v>
      </c>
      <c r="H735" s="54">
        <v>5000</v>
      </c>
      <c r="J735" s="54">
        <v>5000</v>
      </c>
      <c r="L735" s="54">
        <v>5000</v>
      </c>
      <c r="N735" s="54">
        <v>5000</v>
      </c>
      <c r="P735" s="54">
        <v>5000</v>
      </c>
    </row>
    <row r="736" spans="2:16" ht="15" thickTop="1"/>
    <row r="737" spans="2:16">
      <c r="C737" t="s">
        <v>166</v>
      </c>
      <c r="H737" s="7">
        <v>3343126.9006666667</v>
      </c>
      <c r="J737" s="7">
        <v>3977922.5608333335</v>
      </c>
      <c r="L737" s="7">
        <v>4694920.4362090006</v>
      </c>
      <c r="N737" s="7">
        <v>5489500.481506004</v>
      </c>
      <c r="P737" s="7">
        <v>6368602.4655318959</v>
      </c>
    </row>
    <row r="739" spans="2:16">
      <c r="B739" s="6" t="s">
        <v>204</v>
      </c>
    </row>
    <row r="741" spans="2:16">
      <c r="C741" t="s">
        <v>205</v>
      </c>
      <c r="H741" s="7">
        <v>307165.15733333334</v>
      </c>
      <c r="J741" s="7">
        <v>271560.08133333339</v>
      </c>
      <c r="L741" s="7">
        <v>276483.97266666673</v>
      </c>
      <c r="N741" s="7">
        <v>276638.60366666672</v>
      </c>
      <c r="P741" s="7">
        <v>274587.62466666673</v>
      </c>
    </row>
    <row r="742" spans="2:16" ht="15" thickBot="1">
      <c r="C742" t="s">
        <v>206</v>
      </c>
      <c r="H742" s="54">
        <v>420078</v>
      </c>
      <c r="J742" s="54">
        <v>420078</v>
      </c>
      <c r="L742" s="54">
        <v>420078</v>
      </c>
      <c r="N742" s="54">
        <v>420078</v>
      </c>
      <c r="P742" s="54">
        <v>420078</v>
      </c>
    </row>
    <row r="743" spans="2:16" ht="15" thickTop="1"/>
    <row r="744" spans="2:16">
      <c r="C744" t="s">
        <v>167</v>
      </c>
      <c r="H744" s="7">
        <v>727243.15733333328</v>
      </c>
      <c r="J744" s="7">
        <v>691638.08133333339</v>
      </c>
      <c r="L744" s="7">
        <v>696561.97266666673</v>
      </c>
      <c r="N744" s="7">
        <v>696716.60366666666</v>
      </c>
      <c r="P744" s="7">
        <v>694665.62466666673</v>
      </c>
    </row>
    <row r="746" spans="2:16">
      <c r="B746" s="6" t="s">
        <v>169</v>
      </c>
      <c r="H746" s="7">
        <v>2615883.7433333332</v>
      </c>
      <c r="J746" s="7">
        <v>3286284.4795000004</v>
      </c>
      <c r="L746" s="7">
        <v>3998358.4635423338</v>
      </c>
      <c r="N746" s="7">
        <v>4792783.8778393371</v>
      </c>
      <c r="P746" s="7">
        <v>5673936.8408652293</v>
      </c>
    </row>
    <row r="747" spans="2:16">
      <c r="B747" s="6"/>
    </row>
    <row r="748" spans="2:16" ht="6.75" customHeight="1">
      <c r="B748" s="32"/>
      <c r="C748" s="32"/>
      <c r="D748" s="32"/>
      <c r="E748" s="32"/>
      <c r="F748" s="32"/>
      <c r="G748" s="32"/>
      <c r="H748" s="25"/>
      <c r="I748" s="32"/>
      <c r="J748" s="25"/>
      <c r="K748" s="32"/>
      <c r="L748" s="25"/>
      <c r="M748" s="32"/>
      <c r="N748" s="25"/>
      <c r="O748" s="32"/>
      <c r="P748" s="25"/>
    </row>
    <row r="749" spans="2:16" ht="26">
      <c r="B749" s="23" t="s">
        <v>53</v>
      </c>
      <c r="G749" s="5"/>
      <c r="H749"/>
      <c r="J749"/>
      <c r="L749"/>
      <c r="N749" t="s">
        <v>284</v>
      </c>
      <c r="P749" t="s">
        <v>301</v>
      </c>
    </row>
    <row r="750" spans="2:16" ht="15.75" customHeight="1">
      <c r="B750" s="5"/>
    </row>
    <row r="751" spans="2:16" ht="15" thickBot="1">
      <c r="H751" s="33"/>
      <c r="I751" s="34"/>
      <c r="J751" s="33"/>
      <c r="K751" s="34"/>
      <c r="L751" s="35" t="s">
        <v>59</v>
      </c>
      <c r="M751" s="34"/>
      <c r="N751" s="33"/>
      <c r="O751" s="34"/>
      <c r="P751" s="33"/>
    </row>
    <row r="752" spans="2:16">
      <c r="B752" s="22" t="s">
        <v>74</v>
      </c>
      <c r="H752" s="10">
        <v>43465</v>
      </c>
      <c r="I752" s="8"/>
      <c r="J752" s="10">
        <v>43830</v>
      </c>
      <c r="K752" s="8"/>
      <c r="L752" s="10">
        <v>44196</v>
      </c>
      <c r="M752" s="8"/>
      <c r="N752" s="10">
        <v>44561</v>
      </c>
      <c r="O752" s="8"/>
      <c r="P752" s="10">
        <v>44926</v>
      </c>
    </row>
    <row r="753" spans="2:16">
      <c r="H753"/>
      <c r="J753"/>
      <c r="L753"/>
      <c r="N753"/>
      <c r="P753"/>
    </row>
    <row r="754" spans="2:16">
      <c r="B754" t="s">
        <v>115</v>
      </c>
      <c r="H754" s="94">
        <v>0.2495523746663752</v>
      </c>
      <c r="J754" s="94">
        <v>0.21135699125648383</v>
      </c>
      <c r="L754" s="94">
        <v>0.1848339201046163</v>
      </c>
      <c r="N754" s="94">
        <v>0.16406546884765652</v>
      </c>
      <c r="P754" s="94">
        <v>0.14745590210902346</v>
      </c>
    </row>
    <row r="755" spans="2:16">
      <c r="B755" t="s">
        <v>116</v>
      </c>
      <c r="H755" s="94">
        <v>0.2495523746663752</v>
      </c>
      <c r="J755" s="94">
        <v>0.21135699125648383</v>
      </c>
      <c r="L755" s="94">
        <v>0.1848339201046163</v>
      </c>
      <c r="N755" s="94">
        <v>0.16406546884765652</v>
      </c>
      <c r="P755" s="94">
        <v>0.14745590210902346</v>
      </c>
    </row>
    <row r="756" spans="2:16">
      <c r="B756" t="s">
        <v>242</v>
      </c>
      <c r="H756" s="94">
        <v>0.19113999285108393</v>
      </c>
      <c r="J756" s="94">
        <v>0.15214750978468963</v>
      </c>
      <c r="L756" s="94">
        <v>0.12505131907483516</v>
      </c>
      <c r="N756" s="94">
        <v>0.10432350232020225</v>
      </c>
      <c r="P756" s="94">
        <v>8.8122235763864104E-2</v>
      </c>
    </row>
    <row r="757" spans="2:16">
      <c r="B757" t="s">
        <v>48</v>
      </c>
      <c r="H757" s="94">
        <v>8.9646982287005725E-2</v>
      </c>
      <c r="J757" s="94">
        <v>6.9400930461528107E-2</v>
      </c>
      <c r="L757" s="94">
        <v>4.9921334933714021E-2</v>
      </c>
      <c r="N757" s="94">
        <v>4.0308720694099874E-2</v>
      </c>
      <c r="P757" s="94">
        <v>3.3410048526332684E-2</v>
      </c>
    </row>
    <row r="758" spans="2:16">
      <c r="B758" t="s">
        <v>207</v>
      </c>
      <c r="H758" s="97">
        <v>7465</v>
      </c>
      <c r="J758" s="7">
        <v>41779.20000000007</v>
      </c>
      <c r="L758" s="7">
        <v>44453.068800000008</v>
      </c>
      <c r="N758" s="7">
        <v>47298.065203200094</v>
      </c>
      <c r="P758" s="7">
        <v>50325.141376204905</v>
      </c>
    </row>
    <row r="759" spans="2:16">
      <c r="B759" t="s">
        <v>118</v>
      </c>
      <c r="H759" s="97">
        <v>520135.74333333317</v>
      </c>
      <c r="J759" s="7">
        <v>670400.73616666719</v>
      </c>
      <c r="L759" s="7">
        <v>712073.98404233344</v>
      </c>
      <c r="N759" s="7">
        <v>794425.4142970033</v>
      </c>
      <c r="P759" s="7">
        <v>881152.96302589215</v>
      </c>
    </row>
    <row r="760" spans="2:16">
      <c r="B760" t="s">
        <v>119</v>
      </c>
      <c r="H760" s="94">
        <v>2.1916936285661107E-2</v>
      </c>
      <c r="J760" s="94">
        <v>-1.3611107944204578E-2</v>
      </c>
      <c r="L760" s="94">
        <v>1.4983156096341635E-3</v>
      </c>
      <c r="N760" s="94">
        <v>3.8673621039720152E-5</v>
      </c>
      <c r="P760" s="94">
        <v>-4.279306249303705E-4</v>
      </c>
    </row>
    <row r="761" spans="2:16">
      <c r="B761" t="s">
        <v>280</v>
      </c>
      <c r="H761" s="94">
        <v>5.2767234152428059E-2</v>
      </c>
      <c r="J761" s="94">
        <v>5.078876952817174E-2</v>
      </c>
      <c r="L761" s="94">
        <v>4.9681920681438042E-2</v>
      </c>
      <c r="N761" s="94">
        <v>4.8926892550841365E-2</v>
      </c>
      <c r="P761" s="94">
        <v>4.8330644447829828E-2</v>
      </c>
    </row>
    <row r="762" spans="2:16">
      <c r="B762" t="s">
        <v>124</v>
      </c>
      <c r="H762" s="94">
        <v>0</v>
      </c>
      <c r="J762" s="94">
        <v>0</v>
      </c>
      <c r="L762" s="94">
        <v>0</v>
      </c>
      <c r="N762" s="94">
        <v>0</v>
      </c>
      <c r="P762" s="94">
        <v>0</v>
      </c>
    </row>
    <row r="763" spans="2:16">
      <c r="B763" t="s">
        <v>127</v>
      </c>
      <c r="H763" s="94">
        <v>2.1916936285661107E-2</v>
      </c>
      <c r="J763" s="94">
        <v>-1.3611107944204578E-2</v>
      </c>
      <c r="L763" s="94">
        <v>1.4983156096341635E-3</v>
      </c>
      <c r="N763" s="94">
        <v>3.8673621039720152E-5</v>
      </c>
      <c r="P763" s="94">
        <v>-4.279306249303705E-4</v>
      </c>
    </row>
    <row r="764" spans="2:16">
      <c r="B764" t="s">
        <v>128</v>
      </c>
      <c r="H764" s="94">
        <v>0.4510267518485131</v>
      </c>
      <c r="J764" s="94">
        <v>0.30777599475363082</v>
      </c>
      <c r="L764" s="94">
        <v>0.23499072945627861</v>
      </c>
      <c r="N764" s="94">
        <v>0.18535659465316057</v>
      </c>
      <c r="P764" s="94">
        <v>0.14978045088999259</v>
      </c>
    </row>
    <row r="765" spans="2:16">
      <c r="B765" t="s">
        <v>73</v>
      </c>
      <c r="H765" s="94">
        <v>0.30925316584967322</v>
      </c>
      <c r="J765" s="94">
        <v>0.17327551223340221</v>
      </c>
      <c r="L765" s="94">
        <v>0.20689385266167873</v>
      </c>
      <c r="N765" s="94">
        <v>0.1928790739822196</v>
      </c>
      <c r="P765" s="94">
        <v>0.18275292259815307</v>
      </c>
    </row>
    <row r="766" spans="2:16">
      <c r="B766" t="s">
        <v>132</v>
      </c>
      <c r="H766" s="94">
        <v>0.10541780024509805</v>
      </c>
      <c r="J766" s="94">
        <v>0.1018332282337277</v>
      </c>
      <c r="L766" s="94">
        <v>9.8376190777232822E-2</v>
      </c>
      <c r="N766" s="94">
        <v>9.5041831172286775E-2</v>
      </c>
      <c r="P766" s="94">
        <v>9.1825494909526961E-2</v>
      </c>
    </row>
    <row r="767" spans="2:16">
      <c r="B767" t="s">
        <v>134</v>
      </c>
      <c r="H767" s="94">
        <v>0</v>
      </c>
      <c r="J767" s="94">
        <v>0</v>
      </c>
      <c r="L767" s="94">
        <v>0</v>
      </c>
      <c r="N767" s="94">
        <v>0</v>
      </c>
      <c r="P767" s="94">
        <v>0</v>
      </c>
    </row>
    <row r="768" spans="2:16">
      <c r="B768" t="s">
        <v>135</v>
      </c>
      <c r="H768" s="94">
        <v>0.52008876633986934</v>
      </c>
      <c r="J768" s="94">
        <v>0.37694196870085761</v>
      </c>
      <c r="L768" s="94">
        <v>0.40364623421614437</v>
      </c>
      <c r="N768" s="94">
        <v>0.38296273632679312</v>
      </c>
      <c r="P768" s="94">
        <v>0.36640391241720699</v>
      </c>
    </row>
    <row r="769" spans="2:16">
      <c r="B769" t="s">
        <v>47</v>
      </c>
      <c r="H769" s="94">
        <v>0.21144753370098041</v>
      </c>
      <c r="J769" s="94">
        <v>0.24029850740323541</v>
      </c>
      <c r="L769" s="94">
        <v>0.26879222522206958</v>
      </c>
      <c r="N769" s="94">
        <v>0.29821566289657558</v>
      </c>
      <c r="P769" s="94">
        <v>0.32776337709490888</v>
      </c>
    </row>
    <row r="770" spans="2:16">
      <c r="B770" t="s">
        <v>114</v>
      </c>
      <c r="H770" s="94">
        <v>0.30864123263888893</v>
      </c>
      <c r="J770" s="94">
        <v>0.1366434612976222</v>
      </c>
      <c r="L770" s="94">
        <v>0.13485400899407479</v>
      </c>
      <c r="N770" s="94">
        <v>8.4747073430217534E-2</v>
      </c>
      <c r="P770" s="94">
        <v>3.8640535322298109E-2</v>
      </c>
    </row>
    <row r="771" spans="2:16">
      <c r="B771" t="s">
        <v>38</v>
      </c>
      <c r="H771" s="94">
        <v>4.596986395754203</v>
      </c>
      <c r="J771" s="94">
        <v>5.7514510380410684</v>
      </c>
      <c r="L771" s="94">
        <v>6.7401331402506974</v>
      </c>
      <c r="N771" s="94">
        <v>7.8791009897223159</v>
      </c>
      <c r="P771" s="94">
        <v>9.1678675889394281</v>
      </c>
    </row>
    <row r="772" spans="2:16">
      <c r="B772" t="s">
        <v>39</v>
      </c>
      <c r="H772" s="7">
        <v>439434.95066666667</v>
      </c>
      <c r="J772" s="7">
        <v>467889.31513333344</v>
      </c>
      <c r="L772" s="7">
        <v>518351.74733400001</v>
      </c>
      <c r="N772" s="7">
        <v>560084.02348655346</v>
      </c>
      <c r="P772" s="7">
        <v>604876.95995059237</v>
      </c>
    </row>
    <row r="773" spans="2:16">
      <c r="B773" t="s">
        <v>44</v>
      </c>
      <c r="H773" s="7">
        <v>439434.95066666667</v>
      </c>
      <c r="J773" s="7">
        <v>467889.31513333344</v>
      </c>
      <c r="L773" s="7">
        <v>518351.74733400001</v>
      </c>
      <c r="N773" s="7">
        <v>560084.02348655346</v>
      </c>
      <c r="P773" s="7">
        <v>604876.95995059237</v>
      </c>
    </row>
    <row r="774" spans="2:16">
      <c r="B774" t="s">
        <v>51</v>
      </c>
      <c r="H774" s="94">
        <v>0.79677656760620919</v>
      </c>
      <c r="J774" s="94">
        <v>0.96518976693610559</v>
      </c>
      <c r="L774" s="94">
        <v>0.96352218178315807</v>
      </c>
      <c r="N774" s="94">
        <v>1.0102947577420693</v>
      </c>
      <c r="P774" s="94">
        <v>1.0531849595872289</v>
      </c>
    </row>
    <row r="776" spans="2:16" ht="6.75" customHeight="1">
      <c r="B776" s="32"/>
      <c r="C776" s="32"/>
      <c r="D776" s="32"/>
      <c r="E776" s="32"/>
      <c r="F776" s="32"/>
      <c r="G776" s="32"/>
      <c r="H776" s="25"/>
      <c r="I776" s="32"/>
      <c r="J776" s="25"/>
      <c r="K776" s="32"/>
      <c r="L776" s="25"/>
      <c r="M776" s="32"/>
      <c r="N776" s="25"/>
      <c r="O776" s="32"/>
      <c r="P776" s="25"/>
    </row>
    <row r="779" spans="2:16" ht="26">
      <c r="B779" s="5">
        <v>0</v>
      </c>
    </row>
    <row r="781" spans="2:16" ht="26">
      <c r="B781" s="5" t="s">
        <v>200</v>
      </c>
      <c r="N781" s="7" t="s">
        <v>284</v>
      </c>
      <c r="P781" s="7" t="s">
        <v>302</v>
      </c>
    </row>
    <row r="782" spans="2:16" ht="6.75" customHeight="1">
      <c r="B782" s="43"/>
      <c r="C782" s="32"/>
      <c r="D782" s="32"/>
      <c r="E782" s="32"/>
      <c r="F782" s="32"/>
      <c r="G782" s="32"/>
      <c r="H782" s="25"/>
      <c r="I782" s="32"/>
      <c r="J782" s="25"/>
      <c r="K782" s="32"/>
      <c r="L782" s="25"/>
      <c r="M782" s="32"/>
      <c r="N782" s="25"/>
      <c r="O782" s="32"/>
      <c r="P782" s="25"/>
    </row>
    <row r="783" spans="2:16" ht="17.25" customHeight="1">
      <c r="B783" s="5"/>
    </row>
    <row r="784" spans="2:16" ht="15" thickBot="1">
      <c r="H784" s="33"/>
      <c r="I784" s="34"/>
      <c r="J784" s="33"/>
      <c r="K784" s="34"/>
      <c r="L784" s="35" t="s">
        <v>59</v>
      </c>
      <c r="M784" s="34"/>
      <c r="N784" s="33"/>
      <c r="O784" s="34"/>
      <c r="P784" s="33"/>
    </row>
    <row r="785" spans="2:16">
      <c r="B785" s="6" t="s">
        <v>201</v>
      </c>
      <c r="H785" s="10">
        <v>43465</v>
      </c>
      <c r="I785" s="8"/>
      <c r="J785" s="10">
        <v>43830</v>
      </c>
      <c r="K785" s="8"/>
      <c r="L785" s="10">
        <v>44196</v>
      </c>
      <c r="M785" s="8"/>
      <c r="N785" s="10">
        <v>44561</v>
      </c>
      <c r="O785" s="8"/>
      <c r="P785" s="10">
        <v>44926</v>
      </c>
    </row>
    <row r="787" spans="2:16">
      <c r="C787" t="s">
        <v>281</v>
      </c>
      <c r="H787" s="7">
        <v>1621406.73</v>
      </c>
      <c r="J787" s="7">
        <v>2242771.3179666665</v>
      </c>
      <c r="L787" s="7">
        <v>2946943.5250323336</v>
      </c>
      <c r="N787" s="7">
        <v>3733860.1587705039</v>
      </c>
      <c r="P787" s="7">
        <v>4607642.1481596213</v>
      </c>
    </row>
    <row r="788" spans="2:16">
      <c r="C788" t="s">
        <v>165</v>
      </c>
      <c r="H788" s="7">
        <v>0</v>
      </c>
      <c r="J788" s="7">
        <v>0</v>
      </c>
      <c r="L788" s="7">
        <v>0</v>
      </c>
      <c r="N788" s="7">
        <v>0</v>
      </c>
      <c r="P788" s="7">
        <v>0</v>
      </c>
    </row>
    <row r="789" spans="2:16">
      <c r="C789" t="s">
        <v>202</v>
      </c>
      <c r="H789" s="7">
        <v>1725710</v>
      </c>
      <c r="J789" s="7">
        <v>1725710</v>
      </c>
      <c r="L789" s="7">
        <v>1725710</v>
      </c>
      <c r="N789" s="7">
        <v>1725710</v>
      </c>
      <c r="P789" s="7">
        <v>1725710</v>
      </c>
    </row>
    <row r="790" spans="2:16" ht="15" thickBot="1">
      <c r="C790" t="s">
        <v>203</v>
      </c>
      <c r="H790" s="54">
        <v>5000</v>
      </c>
      <c r="J790" s="54">
        <v>5000</v>
      </c>
      <c r="L790" s="54">
        <v>5000</v>
      </c>
      <c r="N790" s="54">
        <v>5000</v>
      </c>
      <c r="P790" s="54">
        <v>5000</v>
      </c>
    </row>
    <row r="791" spans="2:16" ht="15" thickTop="1"/>
    <row r="792" spans="2:16">
      <c r="C792" t="s">
        <v>166</v>
      </c>
      <c r="H792" s="7">
        <v>3352116.73</v>
      </c>
      <c r="J792" s="7">
        <v>3973481.3179666665</v>
      </c>
      <c r="L792" s="7">
        <v>4677653.525032334</v>
      </c>
      <c r="N792" s="7">
        <v>5464570.1587705035</v>
      </c>
      <c r="P792" s="7">
        <v>6338352.1481596213</v>
      </c>
    </row>
    <row r="794" spans="2:16">
      <c r="B794" s="6" t="s">
        <v>204</v>
      </c>
    </row>
    <row r="796" spans="2:16">
      <c r="C796" t="s">
        <v>205</v>
      </c>
      <c r="H796" s="7">
        <v>288061.77</v>
      </c>
      <c r="J796" s="7">
        <v>304778.63033333333</v>
      </c>
      <c r="L796" s="7">
        <v>295864.34883333335</v>
      </c>
      <c r="N796" s="7">
        <v>289218.91383333335</v>
      </c>
      <c r="P796" s="7">
        <v>281859.88966666668</v>
      </c>
    </row>
    <row r="797" spans="2:16" ht="15" thickBot="1">
      <c r="C797" t="s">
        <v>206</v>
      </c>
      <c r="H797" s="54">
        <v>420078</v>
      </c>
      <c r="J797" s="54">
        <v>420078</v>
      </c>
      <c r="L797" s="54">
        <v>420078</v>
      </c>
      <c r="N797" s="54">
        <v>420078</v>
      </c>
      <c r="P797" s="54">
        <v>420078</v>
      </c>
    </row>
    <row r="798" spans="2:16" ht="15" thickTop="1"/>
    <row r="799" spans="2:16">
      <c r="C799" t="s">
        <v>167</v>
      </c>
      <c r="H799" s="7">
        <v>708139.77</v>
      </c>
      <c r="J799" s="7">
        <v>724856.63033333328</v>
      </c>
      <c r="L799" s="7">
        <v>715942.34883333335</v>
      </c>
      <c r="N799" s="7">
        <v>709296.91383333341</v>
      </c>
      <c r="P799" s="7">
        <v>701937.88966666674</v>
      </c>
    </row>
    <row r="801" spans="2:16">
      <c r="B801" s="6" t="s">
        <v>169</v>
      </c>
      <c r="H801" s="7">
        <v>2643976.96</v>
      </c>
      <c r="J801" s="7">
        <v>3248624.6876333333</v>
      </c>
      <c r="L801" s="7">
        <v>3961711.1761990008</v>
      </c>
      <c r="N801" s="7">
        <v>4755273.2449371703</v>
      </c>
      <c r="P801" s="7">
        <v>5636414.2584929541</v>
      </c>
    </row>
    <row r="802" spans="2:16">
      <c r="B802" s="6"/>
    </row>
    <row r="803" spans="2:16" ht="6.75" customHeight="1">
      <c r="B803" s="32"/>
      <c r="C803" s="32"/>
      <c r="D803" s="32"/>
      <c r="E803" s="32"/>
      <c r="F803" s="32"/>
      <c r="G803" s="32"/>
      <c r="H803" s="25"/>
      <c r="I803" s="32"/>
      <c r="J803" s="25"/>
      <c r="K803" s="32"/>
      <c r="L803" s="25"/>
      <c r="M803" s="32"/>
      <c r="N803" s="25"/>
      <c r="O803" s="32"/>
      <c r="P803" s="25"/>
    </row>
    <row r="804" spans="2:16" ht="26">
      <c r="B804" s="23" t="s">
        <v>53</v>
      </c>
      <c r="G804" s="5"/>
      <c r="H804"/>
      <c r="J804"/>
      <c r="L804"/>
      <c r="N804" t="s">
        <v>284</v>
      </c>
      <c r="P804" t="s">
        <v>302</v>
      </c>
    </row>
    <row r="805" spans="2:16" ht="15.75" customHeight="1">
      <c r="B805" s="5"/>
    </row>
    <row r="806" spans="2:16" ht="15" thickBot="1">
      <c r="H806" s="33"/>
      <c r="I806" s="34"/>
      <c r="J806" s="33"/>
      <c r="K806" s="34"/>
      <c r="L806" s="35" t="s">
        <v>59</v>
      </c>
      <c r="M806" s="34"/>
      <c r="N806" s="33"/>
      <c r="O806" s="34"/>
      <c r="P806" s="33"/>
    </row>
    <row r="807" spans="2:16">
      <c r="B807" s="22" t="s">
        <v>74</v>
      </c>
      <c r="H807" s="10">
        <v>43465</v>
      </c>
      <c r="I807" s="8"/>
      <c r="J807" s="10">
        <v>43830</v>
      </c>
      <c r="K807" s="8"/>
      <c r="L807" s="10">
        <v>44196</v>
      </c>
      <c r="M807" s="8"/>
      <c r="N807" s="10">
        <v>44561</v>
      </c>
      <c r="O807" s="8"/>
      <c r="P807" s="10">
        <v>44926</v>
      </c>
    </row>
    <row r="808" spans="2:16">
      <c r="H808"/>
      <c r="J808"/>
      <c r="L808"/>
      <c r="N808"/>
      <c r="P808"/>
    </row>
    <row r="809" spans="2:16">
      <c r="B809" t="s">
        <v>115</v>
      </c>
      <c r="H809" s="94">
        <v>0.24690078993729203</v>
      </c>
      <c r="J809" s="94">
        <v>0.21380715434567801</v>
      </c>
      <c r="L809" s="94">
        <v>0.18654370193363073</v>
      </c>
      <c r="N809" s="94">
        <v>0.16535965306313111</v>
      </c>
      <c r="P809" s="94">
        <v>0.14843754149523908</v>
      </c>
    </row>
    <row r="810" spans="2:16">
      <c r="B810" t="s">
        <v>116</v>
      </c>
      <c r="H810" s="94">
        <v>0.24690078993729203</v>
      </c>
      <c r="J810" s="94">
        <v>0.21380715434567801</v>
      </c>
      <c r="L810" s="94">
        <v>0.18654370193363073</v>
      </c>
      <c r="N810" s="94">
        <v>0.16535965306313111</v>
      </c>
      <c r="P810" s="94">
        <v>0.14843754149523908</v>
      </c>
    </row>
    <row r="811" spans="2:16">
      <c r="B811" t="s">
        <v>242</v>
      </c>
      <c r="H811" s="94">
        <v>0.18910906092010726</v>
      </c>
      <c r="J811" s="94">
        <v>0.15391128495186582</v>
      </c>
      <c r="L811" s="94">
        <v>0.12620808982842532</v>
      </c>
      <c r="N811" s="94">
        <v>0.10514642886869613</v>
      </c>
      <c r="P811" s="94">
        <v>8.8708880694246262E-2</v>
      </c>
    </row>
    <row r="812" spans="2:16">
      <c r="B812" t="s">
        <v>48</v>
      </c>
      <c r="H812" s="94">
        <v>8.3605475104941748E-2</v>
      </c>
      <c r="J812" s="94">
        <v>7.5727384674828271E-2</v>
      </c>
      <c r="L812" s="94">
        <v>5.4490677138071313E-2</v>
      </c>
      <c r="N812" s="94">
        <v>4.2399044135277994E-2</v>
      </c>
      <c r="P812" s="94">
        <v>3.4513463875846175E-2</v>
      </c>
    </row>
    <row r="813" spans="2:16">
      <c r="B813" t="s">
        <v>207</v>
      </c>
      <c r="H813" s="97">
        <v>7465</v>
      </c>
      <c r="J813" s="7">
        <v>41779.20000000007</v>
      </c>
      <c r="L813" s="7">
        <v>44453.068800000008</v>
      </c>
      <c r="N813" s="7">
        <v>47298.065203200094</v>
      </c>
      <c r="P813" s="7">
        <v>50325.141376204905</v>
      </c>
    </row>
    <row r="814" spans="2:16">
      <c r="B814" t="s">
        <v>118</v>
      </c>
      <c r="H814" s="97">
        <v>548228.96</v>
      </c>
      <c r="J814" s="7">
        <v>604647.7276333333</v>
      </c>
      <c r="L814" s="7">
        <v>713086.48856566753</v>
      </c>
      <c r="N814" s="7">
        <v>793562.0687381695</v>
      </c>
      <c r="P814" s="7">
        <v>881141.01355578378</v>
      </c>
    </row>
    <row r="815" spans="2:16">
      <c r="B815" t="s">
        <v>119</v>
      </c>
      <c r="H815" s="94">
        <v>1.4458813589661544E-2</v>
      </c>
      <c r="J815" s="94">
        <v>6.3226195183385091E-3</v>
      </c>
      <c r="L815" s="94">
        <v>-2.7440170401752863E-3</v>
      </c>
      <c r="N815" s="94">
        <v>-1.6774153148579225E-3</v>
      </c>
      <c r="P815" s="94">
        <v>-1.5475502221668656E-3</v>
      </c>
    </row>
    <row r="816" spans="2:16">
      <c r="B816" t="s">
        <v>280</v>
      </c>
      <c r="H816" s="94">
        <v>5.2206563101064245E-2</v>
      </c>
      <c r="J816" s="94">
        <v>5.1515903679818731E-2</v>
      </c>
      <c r="L816" s="94">
        <v>5.0085444666036476E-2</v>
      </c>
      <c r="N816" s="94">
        <v>4.9131283149787458E-2</v>
      </c>
      <c r="P816" s="94">
        <v>4.8431235785623972E-2</v>
      </c>
    </row>
    <row r="817" spans="2:16">
      <c r="B817" t="s">
        <v>124</v>
      </c>
      <c r="H817" s="94">
        <v>0</v>
      </c>
      <c r="J817" s="94">
        <v>0</v>
      </c>
      <c r="L817" s="94">
        <v>0</v>
      </c>
      <c r="N817" s="94">
        <v>0</v>
      </c>
      <c r="P817" s="94">
        <v>0</v>
      </c>
    </row>
    <row r="818" spans="2:16">
      <c r="B818" t="s">
        <v>127</v>
      </c>
      <c r="H818" s="94">
        <v>1.4458813589661544E-2</v>
      </c>
      <c r="J818" s="94">
        <v>6.3226195183385091E-3</v>
      </c>
      <c r="L818" s="94">
        <v>-2.7440170401752863E-3</v>
      </c>
      <c r="N818" s="94">
        <v>-1.6774153148579225E-3</v>
      </c>
      <c r="P818" s="94">
        <v>-1.5475502221668656E-3</v>
      </c>
    </row>
    <row r="819" spans="2:16">
      <c r="B819" t="s">
        <v>128</v>
      </c>
      <c r="H819" s="94">
        <v>0.43674406729519372</v>
      </c>
      <c r="J819" s="94">
        <v>0.32319685227225942</v>
      </c>
      <c r="L819" s="94">
        <v>0.24294403430261804</v>
      </c>
      <c r="N819" s="94">
        <v>0.18996343828444093</v>
      </c>
      <c r="P819" s="94">
        <v>0.15234210190282113</v>
      </c>
    </row>
    <row r="820" spans="2:16">
      <c r="B820" t="s">
        <v>73</v>
      </c>
      <c r="H820" s="94">
        <v>0.26621821384803929</v>
      </c>
      <c r="J820" s="94">
        <v>0.26858861691606462</v>
      </c>
      <c r="L820" s="94">
        <v>0.20522333471708168</v>
      </c>
      <c r="N820" s="94">
        <v>0.1928790739822196</v>
      </c>
      <c r="P820" s="94">
        <v>0.181277325171259</v>
      </c>
    </row>
    <row r="821" spans="2:16">
      <c r="B821" t="s">
        <v>132</v>
      </c>
      <c r="H821" s="94">
        <v>0.10541780024509805</v>
      </c>
      <c r="J821" s="94">
        <v>0.1018332282337277</v>
      </c>
      <c r="L821" s="94">
        <v>9.8376190777232822E-2</v>
      </c>
      <c r="N821" s="94">
        <v>9.5041831172286775E-2</v>
      </c>
      <c r="P821" s="94">
        <v>9.1825494909526961E-2</v>
      </c>
    </row>
    <row r="822" spans="2:16">
      <c r="B822" t="s">
        <v>134</v>
      </c>
      <c r="H822" s="94">
        <v>0</v>
      </c>
      <c r="J822" s="94">
        <v>0</v>
      </c>
      <c r="L822" s="94">
        <v>0</v>
      </c>
      <c r="N822" s="94">
        <v>0</v>
      </c>
      <c r="P822" s="94">
        <v>0</v>
      </c>
    </row>
    <row r="823" spans="2:16">
      <c r="B823" t="s">
        <v>135</v>
      </c>
      <c r="H823" s="94">
        <v>0.4770538143382354</v>
      </c>
      <c r="J823" s="94">
        <v>0.47225507338352002</v>
      </c>
      <c r="L823" s="94">
        <v>0.40197571627154732</v>
      </c>
      <c r="N823" s="94">
        <v>0.38296273632679312</v>
      </c>
      <c r="P823" s="94">
        <v>0.36492831499031292</v>
      </c>
    </row>
    <row r="824" spans="2:16">
      <c r="B824" t="s">
        <v>47</v>
      </c>
      <c r="H824" s="94">
        <v>0.21144753370098041</v>
      </c>
      <c r="J824" s="94">
        <v>0.24094564953859832</v>
      </c>
      <c r="L824" s="94">
        <v>0.26849174829743688</v>
      </c>
      <c r="N824" s="94">
        <v>0.29711772031252437</v>
      </c>
      <c r="P824" s="94">
        <v>0.32627349724178323</v>
      </c>
    </row>
    <row r="825" spans="2:16">
      <c r="B825" t="s">
        <v>114</v>
      </c>
      <c r="H825" s="94">
        <v>0.265606280637255</v>
      </c>
      <c r="J825" s="94">
        <v>0.2313094238449217</v>
      </c>
      <c r="L825" s="94">
        <v>0.13348396797411044</v>
      </c>
      <c r="N825" s="94">
        <v>8.5845016014268749E-2</v>
      </c>
      <c r="P825" s="94">
        <v>3.8654817748529691E-2</v>
      </c>
    </row>
    <row r="826" spans="2:16">
      <c r="B826" t="s">
        <v>38</v>
      </c>
      <c r="H826" s="94">
        <v>4.7336936463828323</v>
      </c>
      <c r="J826" s="94">
        <v>5.4817479094306103</v>
      </c>
      <c r="L826" s="94">
        <v>6.5335617213520374</v>
      </c>
      <c r="N826" s="94">
        <v>7.7042068733074132</v>
      </c>
      <c r="P826" s="94">
        <v>9.0297905861294243</v>
      </c>
    </row>
    <row r="827" spans="2:16">
      <c r="B827" t="s">
        <v>39</v>
      </c>
      <c r="H827" s="7">
        <v>448424.78</v>
      </c>
      <c r="J827" s="7">
        <v>454008.75146666681</v>
      </c>
      <c r="L827" s="7">
        <v>505748.14116733341</v>
      </c>
      <c r="N827" s="7">
        <v>553283.95748655347</v>
      </c>
      <c r="P827" s="7">
        <v>600803.48145059228</v>
      </c>
    </row>
    <row r="828" spans="2:16">
      <c r="B828" t="s">
        <v>44</v>
      </c>
      <c r="H828" s="7">
        <v>448424.78</v>
      </c>
      <c r="J828" s="7">
        <v>454008.75146666681</v>
      </c>
      <c r="L828" s="7">
        <v>505748.14116733341</v>
      </c>
      <c r="N828" s="7">
        <v>553283.95748655347</v>
      </c>
      <c r="P828" s="7">
        <v>600803.48145059228</v>
      </c>
    </row>
    <row r="829" spans="2:16">
      <c r="B829" t="s">
        <v>51</v>
      </c>
      <c r="H829" s="94">
        <v>0.83981151960784306</v>
      </c>
      <c r="J829" s="94">
        <v>0.87052380438880594</v>
      </c>
      <c r="L829" s="94">
        <v>0.96489222280312259</v>
      </c>
      <c r="N829" s="94">
        <v>1.009196815158018</v>
      </c>
      <c r="P829" s="94">
        <v>1.0531706771609972</v>
      </c>
    </row>
    <row r="831" spans="2:16" ht="6.75" customHeight="1">
      <c r="B831" s="32"/>
      <c r="C831" s="32"/>
      <c r="D831" s="32"/>
      <c r="E831" s="32"/>
      <c r="F831" s="32"/>
      <c r="G831" s="32"/>
      <c r="H831" s="25"/>
      <c r="I831" s="32"/>
      <c r="J831" s="25"/>
      <c r="K831" s="32"/>
      <c r="L831" s="25"/>
      <c r="M831" s="32"/>
      <c r="N831" s="25"/>
      <c r="O831" s="32"/>
      <c r="P831" s="25"/>
    </row>
    <row r="834" spans="2:16" ht="26">
      <c r="B834" s="5">
        <v>0</v>
      </c>
    </row>
    <row r="836" spans="2:16" ht="26">
      <c r="B836" s="5" t="s">
        <v>200</v>
      </c>
      <c r="N836" s="7" t="s">
        <v>284</v>
      </c>
      <c r="P836" s="7" t="s">
        <v>303</v>
      </c>
    </row>
    <row r="837" spans="2:16" ht="6.75" customHeight="1">
      <c r="B837" s="43"/>
      <c r="C837" s="32"/>
      <c r="D837" s="32"/>
      <c r="E837" s="32"/>
      <c r="F837" s="32"/>
      <c r="G837" s="32"/>
      <c r="H837" s="25"/>
      <c r="I837" s="32"/>
      <c r="J837" s="25"/>
      <c r="K837" s="32"/>
      <c r="L837" s="25"/>
      <c r="M837" s="32"/>
      <c r="N837" s="25"/>
      <c r="O837" s="32"/>
      <c r="P837" s="25"/>
    </row>
    <row r="838" spans="2:16" ht="17.25" customHeight="1">
      <c r="B838" s="5"/>
    </row>
    <row r="839" spans="2:16" ht="15" thickBot="1">
      <c r="H839" s="33"/>
      <c r="I839" s="34"/>
      <c r="J839" s="33"/>
      <c r="K839" s="34"/>
      <c r="L839" s="35" t="s">
        <v>59</v>
      </c>
      <c r="M839" s="34"/>
      <c r="N839" s="33"/>
      <c r="O839" s="34"/>
      <c r="P839" s="33"/>
    </row>
    <row r="840" spans="2:16">
      <c r="B840" s="6" t="s">
        <v>201</v>
      </c>
      <c r="H840" s="10">
        <v>43465</v>
      </c>
      <c r="I840" s="8"/>
      <c r="J840" s="10">
        <v>43830</v>
      </c>
      <c r="K840" s="8"/>
      <c r="L840" s="10">
        <v>44196</v>
      </c>
      <c r="M840" s="8"/>
      <c r="N840" s="10">
        <v>44561</v>
      </c>
      <c r="O840" s="8"/>
      <c r="P840" s="10">
        <v>44926</v>
      </c>
    </row>
    <row r="842" spans="2:16">
      <c r="C842" t="s">
        <v>281</v>
      </c>
      <c r="H842" s="7">
        <v>1582605.7859999998</v>
      </c>
      <c r="J842" s="7">
        <v>2181669.1677666665</v>
      </c>
      <c r="L842" s="7">
        <v>2873669.5688223331</v>
      </c>
      <c r="N842" s="7">
        <v>3604151.0890833368</v>
      </c>
      <c r="P842" s="7">
        <v>4429171.7398214294</v>
      </c>
    </row>
    <row r="843" spans="2:16">
      <c r="C843" t="s">
        <v>165</v>
      </c>
      <c r="H843" s="7">
        <v>0</v>
      </c>
      <c r="J843" s="7">
        <v>0</v>
      </c>
      <c r="L843" s="7">
        <v>0</v>
      </c>
      <c r="N843" s="7">
        <v>0</v>
      </c>
      <c r="P843" s="7">
        <v>0</v>
      </c>
    </row>
    <row r="844" spans="2:16">
      <c r="C844" t="s">
        <v>202</v>
      </c>
      <c r="H844" s="7">
        <v>1725710</v>
      </c>
      <c r="J844" s="7">
        <v>1725710</v>
      </c>
      <c r="L844" s="7">
        <v>1725710</v>
      </c>
      <c r="N844" s="7">
        <v>1725710</v>
      </c>
      <c r="P844" s="7">
        <v>1725710</v>
      </c>
    </row>
    <row r="845" spans="2:16" ht="15" thickBot="1">
      <c r="C845" t="s">
        <v>203</v>
      </c>
      <c r="H845" s="54">
        <v>5000</v>
      </c>
      <c r="J845" s="54">
        <v>5000</v>
      </c>
      <c r="L845" s="54">
        <v>5000</v>
      </c>
      <c r="N845" s="54">
        <v>5000</v>
      </c>
      <c r="P845" s="54">
        <v>5000</v>
      </c>
    </row>
    <row r="846" spans="2:16" ht="15" thickTop="1"/>
    <row r="847" spans="2:16">
      <c r="C847" t="s">
        <v>166</v>
      </c>
      <c r="H847" s="7">
        <v>3313315.7859999998</v>
      </c>
      <c r="J847" s="7">
        <v>3912379.1677666665</v>
      </c>
      <c r="L847" s="7">
        <v>4604379.5688223336</v>
      </c>
      <c r="N847" s="7">
        <v>5334861.0890833363</v>
      </c>
      <c r="P847" s="7">
        <v>6159881.7398214294</v>
      </c>
    </row>
    <row r="849" spans="2:16">
      <c r="B849" s="6" t="s">
        <v>204</v>
      </c>
    </row>
    <row r="851" spans="2:16">
      <c r="C851" t="s">
        <v>205</v>
      </c>
      <c r="H851" s="7">
        <v>370513.77599999995</v>
      </c>
      <c r="J851" s="7">
        <v>331980.07733333332</v>
      </c>
      <c r="L851" s="7">
        <v>313949.09733333334</v>
      </c>
      <c r="N851" s="7">
        <v>397905.78</v>
      </c>
      <c r="P851" s="7">
        <v>348270.87066666677</v>
      </c>
    </row>
    <row r="852" spans="2:16" ht="15" thickBot="1">
      <c r="C852" t="s">
        <v>206</v>
      </c>
      <c r="H852" s="54">
        <v>420078</v>
      </c>
      <c r="J852" s="54">
        <v>420078</v>
      </c>
      <c r="L852" s="54">
        <v>420078</v>
      </c>
      <c r="N852" s="54">
        <v>420078</v>
      </c>
      <c r="P852" s="54">
        <v>420078</v>
      </c>
    </row>
    <row r="853" spans="2:16" ht="15" thickTop="1"/>
    <row r="854" spans="2:16">
      <c r="C854" t="s">
        <v>167</v>
      </c>
      <c r="H854" s="7">
        <v>790591.77599999995</v>
      </c>
      <c r="J854" s="7">
        <v>752058.07733333332</v>
      </c>
      <c r="L854" s="7">
        <v>734027.09733333334</v>
      </c>
      <c r="N854" s="7">
        <v>817983.78</v>
      </c>
      <c r="P854" s="7">
        <v>768348.87066666677</v>
      </c>
    </row>
    <row r="856" spans="2:16">
      <c r="B856" s="6" t="s">
        <v>169</v>
      </c>
      <c r="H856" s="7">
        <v>2522724.0099999998</v>
      </c>
      <c r="J856" s="7">
        <v>3160321.0904333331</v>
      </c>
      <c r="L856" s="7">
        <v>3870352.4714890001</v>
      </c>
      <c r="N856" s="7">
        <v>4516877.309083336</v>
      </c>
      <c r="P856" s="7">
        <v>5391532.8691547625</v>
      </c>
    </row>
    <row r="857" spans="2:16">
      <c r="B857" s="6"/>
    </row>
    <row r="858" spans="2:16" ht="6.75" customHeight="1">
      <c r="B858" s="32"/>
      <c r="C858" s="32"/>
      <c r="D858" s="32"/>
      <c r="E858" s="32"/>
      <c r="F858" s="32"/>
      <c r="G858" s="32"/>
      <c r="H858" s="25"/>
      <c r="I858" s="32"/>
      <c r="J858" s="25"/>
      <c r="K858" s="32"/>
      <c r="L858" s="25"/>
      <c r="M858" s="32"/>
      <c r="N858" s="25"/>
      <c r="O858" s="32"/>
      <c r="P858" s="25"/>
    </row>
    <row r="859" spans="2:16" ht="26">
      <c r="B859" s="23" t="s">
        <v>53</v>
      </c>
      <c r="G859" s="5"/>
      <c r="H859"/>
      <c r="J859"/>
      <c r="L859"/>
      <c r="N859" t="s">
        <v>284</v>
      </c>
      <c r="P859" t="s">
        <v>303</v>
      </c>
    </row>
    <row r="860" spans="2:16" ht="15.75" customHeight="1">
      <c r="B860" s="5"/>
    </row>
    <row r="861" spans="2:16" ht="15" thickBot="1">
      <c r="H861" s="33"/>
      <c r="I861" s="34"/>
      <c r="J861" s="33"/>
      <c r="K861" s="34"/>
      <c r="L861" s="35" t="s">
        <v>59</v>
      </c>
      <c r="M861" s="34"/>
      <c r="N861" s="33"/>
      <c r="O861" s="34"/>
      <c r="P861" s="33"/>
    </row>
    <row r="862" spans="2:16">
      <c r="B862" s="22" t="s">
        <v>74</v>
      </c>
      <c r="H862" s="10">
        <v>43465</v>
      </c>
      <c r="I862" s="8"/>
      <c r="J862" s="10">
        <v>43830</v>
      </c>
      <c r="K862" s="8"/>
      <c r="L862" s="10">
        <v>44196</v>
      </c>
      <c r="M862" s="8"/>
      <c r="N862" s="10">
        <v>44561</v>
      </c>
      <c r="O862" s="8"/>
      <c r="P862" s="10">
        <v>44926</v>
      </c>
    </row>
    <row r="863" spans="2:16">
      <c r="H863"/>
      <c r="J863"/>
      <c r="L863"/>
      <c r="N863"/>
      <c r="P863"/>
    </row>
    <row r="864" spans="2:16">
      <c r="B864" t="s">
        <v>115</v>
      </c>
      <c r="H864" s="94">
        <v>0.25876790224072116</v>
      </c>
      <c r="J864" s="94">
        <v>0.21978121213777096</v>
      </c>
      <c r="L864" s="94">
        <v>0.19094701948829998</v>
      </c>
      <c r="N864" s="94">
        <v>0.17408715805096323</v>
      </c>
      <c r="P864" s="94">
        <v>0.15517951864226853</v>
      </c>
    </row>
    <row r="865" spans="2:16">
      <c r="B865" t="s">
        <v>116</v>
      </c>
      <c r="H865" s="94">
        <v>0.25876790224072116</v>
      </c>
      <c r="J865" s="94">
        <v>0.21978121213777096</v>
      </c>
      <c r="L865" s="94">
        <v>0.19094701948829998</v>
      </c>
      <c r="N865" s="94">
        <v>0.17408715805096323</v>
      </c>
      <c r="P865" s="94">
        <v>0.15517951864226853</v>
      </c>
    </row>
    <row r="866" spans="2:16">
      <c r="B866" t="s">
        <v>242</v>
      </c>
      <c r="H866" s="94">
        <v>0.19819845453486609</v>
      </c>
      <c r="J866" s="94">
        <v>0.15821177206125014</v>
      </c>
      <c r="L866" s="94">
        <v>0.12918720030882361</v>
      </c>
      <c r="N866" s="94">
        <v>0.11069594451780028</v>
      </c>
      <c r="P866" s="94">
        <v>9.2738004596155901E-2</v>
      </c>
    </row>
    <row r="867" spans="2:16">
      <c r="B867" t="s">
        <v>48</v>
      </c>
      <c r="H867" s="94">
        <v>0.11017236607019458</v>
      </c>
      <c r="J867" s="94">
        <v>8.7181121750021282E-2</v>
      </c>
      <c r="L867" s="94">
        <v>5.9052595506382789E-2</v>
      </c>
      <c r="N867" s="94">
        <v>5.8566778172171291E-2</v>
      </c>
      <c r="P867" s="94">
        <v>4.5449033775356813E-2</v>
      </c>
    </row>
    <row r="868" spans="2:16">
      <c r="B868" t="s">
        <v>207</v>
      </c>
      <c r="H868" s="97">
        <v>7465</v>
      </c>
      <c r="J868" s="7">
        <v>41779.20000000007</v>
      </c>
      <c r="L868" s="7">
        <v>44453.068800000008</v>
      </c>
      <c r="N868" s="7">
        <v>47298.065203200094</v>
      </c>
      <c r="P868" s="7">
        <v>50325.141376204905</v>
      </c>
    </row>
    <row r="869" spans="2:16">
      <c r="B869" t="s">
        <v>118</v>
      </c>
      <c r="H869" s="97">
        <v>426976.00999999978</v>
      </c>
      <c r="J869" s="7">
        <v>637597.08043333329</v>
      </c>
      <c r="L869" s="7">
        <v>710031.38105566707</v>
      </c>
      <c r="N869" s="7">
        <v>646524.8375943359</v>
      </c>
      <c r="P869" s="7">
        <v>874655.56007142644</v>
      </c>
    </row>
    <row r="870" spans="2:16">
      <c r="B870" t="s">
        <v>119</v>
      </c>
      <c r="H870" s="94">
        <v>4.7837486590536694E-2</v>
      </c>
      <c r="J870" s="94">
        <v>-1.5274639046491113E-2</v>
      </c>
      <c r="L870" s="94">
        <v>-5.7054265956019146E-3</v>
      </c>
      <c r="N870" s="94">
        <v>2.1692257561846017E-2</v>
      </c>
      <c r="P870" s="94">
        <v>-1.0988766339417411E-2</v>
      </c>
    </row>
    <row r="871" spans="2:16">
      <c r="B871" t="s">
        <v>280</v>
      </c>
      <c r="H871" s="94">
        <v>5.471583472977689E-2</v>
      </c>
      <c r="J871" s="94">
        <v>5.2341450304126763E-2</v>
      </c>
      <c r="L871" s="94">
        <v>5.0478337522879689E-2</v>
      </c>
      <c r="N871" s="94">
        <v>5.0913266556666122E-2</v>
      </c>
      <c r="P871" s="94">
        <v>4.9428068217628303E-2</v>
      </c>
    </row>
    <row r="872" spans="2:16">
      <c r="B872" t="s">
        <v>124</v>
      </c>
      <c r="H872" s="94">
        <v>0</v>
      </c>
      <c r="J872" s="94">
        <v>0</v>
      </c>
      <c r="L872" s="94">
        <v>0</v>
      </c>
      <c r="N872" s="94">
        <v>0</v>
      </c>
      <c r="P872" s="94">
        <v>0</v>
      </c>
    </row>
    <row r="873" spans="2:16">
      <c r="B873" t="s">
        <v>127</v>
      </c>
      <c r="H873" s="94">
        <v>4.7837486590536694E-2</v>
      </c>
      <c r="J873" s="94">
        <v>-1.5274639046491113E-2</v>
      </c>
      <c r="L873" s="94">
        <v>-5.7054265956019146E-3</v>
      </c>
      <c r="N873" s="94">
        <v>2.1692257561846017E-2</v>
      </c>
      <c r="P873" s="94">
        <v>-1.0988766339417411E-2</v>
      </c>
    </row>
    <row r="874" spans="2:16">
      <c r="B874" t="s">
        <v>128</v>
      </c>
      <c r="H874" s="94">
        <v>0.49955066700356421</v>
      </c>
      <c r="J874" s="94">
        <v>0.34471682895129374</v>
      </c>
      <c r="L874" s="94">
        <v>0.2554319763472831</v>
      </c>
      <c r="N874" s="94">
        <v>0.22695601815295768</v>
      </c>
      <c r="P874" s="94">
        <v>0.17347461688122398</v>
      </c>
    </row>
    <row r="875" spans="2:16">
      <c r="B875" t="s">
        <v>73</v>
      </c>
      <c r="H875" s="94">
        <v>0.45196109068627444</v>
      </c>
      <c r="J875" s="94">
        <v>0.21835762813897494</v>
      </c>
      <c r="L875" s="94">
        <v>0.20522333471708168</v>
      </c>
      <c r="N875" s="94">
        <v>0.37521152019909143</v>
      </c>
      <c r="P875" s="94">
        <v>0.18127732517125911</v>
      </c>
    </row>
    <row r="876" spans="2:16">
      <c r="B876" t="s">
        <v>132</v>
      </c>
      <c r="H876" s="94">
        <v>0.10541780024509805</v>
      </c>
      <c r="J876" s="94">
        <v>0.1018332282337277</v>
      </c>
      <c r="L876" s="94">
        <v>9.8376190777232822E-2</v>
      </c>
      <c r="N876" s="94">
        <v>9.5041831172286775E-2</v>
      </c>
      <c r="P876" s="94">
        <v>9.1825494909526961E-2</v>
      </c>
    </row>
    <row r="877" spans="2:16">
      <c r="B877" t="s">
        <v>134</v>
      </c>
      <c r="H877" s="94">
        <v>0</v>
      </c>
      <c r="J877" s="94">
        <v>0</v>
      </c>
      <c r="L877" s="94">
        <v>0</v>
      </c>
      <c r="N877" s="94">
        <v>0</v>
      </c>
      <c r="P877" s="94">
        <v>0</v>
      </c>
    </row>
    <row r="878" spans="2:16">
      <c r="B878" t="s">
        <v>135</v>
      </c>
      <c r="H878" s="94">
        <v>0.66279669117647055</v>
      </c>
      <c r="J878" s="94">
        <v>0.42202408460643032</v>
      </c>
      <c r="L878" s="94">
        <v>0.40197571627154732</v>
      </c>
      <c r="N878" s="94">
        <v>0.56529518254366495</v>
      </c>
      <c r="P878" s="94">
        <v>0.36492831499031303</v>
      </c>
    </row>
    <row r="879" spans="2:16">
      <c r="B879" t="s">
        <v>47</v>
      </c>
      <c r="H879" s="94">
        <v>0.21144753370098041</v>
      </c>
      <c r="J879" s="94">
        <v>0.23815252357110606</v>
      </c>
      <c r="L879" s="94">
        <v>0.26435781850982326</v>
      </c>
      <c r="N879" s="94">
        <v>0.29245848531665675</v>
      </c>
      <c r="P879" s="94">
        <v>0.31852185552639578</v>
      </c>
    </row>
    <row r="880" spans="2:16">
      <c r="B880" t="s">
        <v>114</v>
      </c>
      <c r="H880" s="94">
        <v>0.45134915747549015</v>
      </c>
      <c r="J880" s="94">
        <v>0.18387156103532426</v>
      </c>
      <c r="L880" s="94">
        <v>0.13761789776172406</v>
      </c>
      <c r="N880" s="94">
        <v>0.27283669722700821</v>
      </c>
      <c r="P880" s="94">
        <v>4.6406459463917249E-2</v>
      </c>
    </row>
    <row r="881" spans="2:16">
      <c r="B881" t="s">
        <v>38</v>
      </c>
      <c r="H881" s="94">
        <v>4.1909312575495345</v>
      </c>
      <c r="J881" s="94">
        <v>5.2022301012167569</v>
      </c>
      <c r="L881" s="94">
        <v>6.2727651139170577</v>
      </c>
      <c r="N881" s="94">
        <v>6.5219643952882977</v>
      </c>
      <c r="P881" s="94">
        <v>8.0170375398310103</v>
      </c>
    </row>
    <row r="882" spans="2:16">
      <c r="B882" t="s">
        <v>39</v>
      </c>
      <c r="H882" s="7">
        <v>409623.83600000001</v>
      </c>
      <c r="J882" s="7">
        <v>433647.59246666671</v>
      </c>
      <c r="L882" s="7">
        <v>496631.44266733347</v>
      </c>
      <c r="N882" s="7">
        <v>500512.54181988677</v>
      </c>
      <c r="P882" s="7">
        <v>558527.5962839257</v>
      </c>
    </row>
    <row r="883" spans="2:16">
      <c r="B883" t="s">
        <v>44</v>
      </c>
      <c r="H883" s="7">
        <v>409623.83600000001</v>
      </c>
      <c r="J883" s="7">
        <v>433647.59246666671</v>
      </c>
      <c r="L883" s="7">
        <v>496631.44266733347</v>
      </c>
      <c r="N883" s="7">
        <v>500512.54181988677</v>
      </c>
      <c r="P883" s="7">
        <v>558527.5962839257</v>
      </c>
    </row>
    <row r="884" spans="2:16">
      <c r="B884" t="s">
        <v>51</v>
      </c>
      <c r="H884" s="94">
        <v>0.65406864276960797</v>
      </c>
      <c r="J884" s="94">
        <v>0.91796166719840333</v>
      </c>
      <c r="L884" s="94">
        <v>0.96075829301550897</v>
      </c>
      <c r="N884" s="94">
        <v>0.82220513394527861</v>
      </c>
      <c r="P884" s="94">
        <v>1.0454190354456097</v>
      </c>
    </row>
    <row r="886" spans="2:16" ht="6.75" customHeight="1">
      <c r="B886" s="32"/>
      <c r="C886" s="32"/>
      <c r="D886" s="32"/>
      <c r="E886" s="32"/>
      <c r="F886" s="32"/>
      <c r="G886" s="32"/>
      <c r="H886" s="25"/>
      <c r="I886" s="32"/>
      <c r="J886" s="25"/>
      <c r="K886" s="32"/>
      <c r="L886" s="25"/>
      <c r="M886" s="32"/>
      <c r="N886" s="25"/>
      <c r="O886" s="32"/>
      <c r="P886" s="25"/>
    </row>
  </sheetData>
  <phoneticPr fontId="6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113</vt:i4>
      </vt:variant>
    </vt:vector>
  </HeadingPairs>
  <TitlesOfParts>
    <vt:vector size="121" baseType="lpstr">
      <vt:lpstr>LossData</vt:lpstr>
      <vt:lpstr>1-Start</vt:lpstr>
      <vt:lpstr>2-Income Statement</vt:lpstr>
      <vt:lpstr>3-Balance Sheet</vt:lpstr>
      <vt:lpstr>4-Additional Info</vt:lpstr>
      <vt:lpstr>5-Current Financial Ratios</vt:lpstr>
      <vt:lpstr>7 - Enter Additional Data</vt:lpstr>
      <vt:lpstr>8-Output</vt:lpstr>
      <vt:lpstr>a</vt:lpstr>
      <vt:lpstr>E_X</vt:lpstr>
      <vt:lpstr>E_X_invest</vt:lpstr>
      <vt:lpstr>E_X_invest_Yr1</vt:lpstr>
      <vt:lpstr>E_X_invest_Yr2</vt:lpstr>
      <vt:lpstr>E_X_invest_Yr3</vt:lpstr>
      <vt:lpstr>E_X_invest_Yr4</vt:lpstr>
      <vt:lpstr>E_X_invest_Yr5</vt:lpstr>
      <vt:lpstr>initial2013</vt:lpstr>
      <vt:lpstr>initial2014</vt:lpstr>
      <vt:lpstr>initial2015</vt:lpstr>
      <vt:lpstr>initial2016</vt:lpstr>
      <vt:lpstr>initial2017</vt:lpstr>
      <vt:lpstr>invest2013</vt:lpstr>
      <vt:lpstr>invest2014</vt:lpstr>
      <vt:lpstr>invest2015</vt:lpstr>
      <vt:lpstr>invest2016</vt:lpstr>
      <vt:lpstr>invest2017</vt:lpstr>
      <vt:lpstr>logrand</vt:lpstr>
      <vt:lpstr>loss_retention</vt:lpstr>
      <vt:lpstr>LossData_A2</vt:lpstr>
      <vt:lpstr>mu</vt:lpstr>
      <vt:lpstr>mu_invest</vt:lpstr>
      <vt:lpstr>Net_Premium_Yr1</vt:lpstr>
      <vt:lpstr>Net_Premium_Yr2</vt:lpstr>
      <vt:lpstr>Net_Premium_Yr3</vt:lpstr>
      <vt:lpstr>Net_Premium_Yr4</vt:lpstr>
      <vt:lpstr>Net_Premium_Yr5</vt:lpstr>
      <vt:lpstr>NetPremium_Yr1</vt:lpstr>
      <vt:lpstr>NetPremium_Yr2</vt:lpstr>
      <vt:lpstr>NetPremium_Yr3</vt:lpstr>
      <vt:lpstr>NetPremium_Yr4</vt:lpstr>
      <vt:lpstr>NetPremium_Yr5</vt:lpstr>
      <vt:lpstr>NormLog</vt:lpstr>
      <vt:lpstr>normrand</vt:lpstr>
      <vt:lpstr>Payroll1</vt:lpstr>
      <vt:lpstr>Payroll2</vt:lpstr>
      <vt:lpstr>Payroll3</vt:lpstr>
      <vt:lpstr>Payroll4</vt:lpstr>
      <vt:lpstr>Payroll5</vt:lpstr>
      <vt:lpstr>Output!Print_Area</vt:lpstr>
      <vt:lpstr>PrintFinancials</vt:lpstr>
      <vt:lpstr>RandLog</vt:lpstr>
      <vt:lpstr>Randnorm</vt:lpstr>
      <vt:lpstr>retention</vt:lpstr>
      <vt:lpstr>retention_</vt:lpstr>
      <vt:lpstr>retention_5years</vt:lpstr>
      <vt:lpstr>retention_years</vt:lpstr>
      <vt:lpstr>retention2</vt:lpstr>
      <vt:lpstr>Rt100_Yr1</vt:lpstr>
      <vt:lpstr>Rt100_Yr2</vt:lpstr>
      <vt:lpstr>Rt100_Yr3</vt:lpstr>
      <vt:lpstr>Rt100_Yr4</vt:lpstr>
      <vt:lpstr>Rt100_Yr5</vt:lpstr>
      <vt:lpstr>Rt1000_Yr1</vt:lpstr>
      <vt:lpstr>Rt1000_Yr2</vt:lpstr>
      <vt:lpstr>Rt1000_Yr3</vt:lpstr>
      <vt:lpstr>Rt1000_Yr4</vt:lpstr>
      <vt:lpstr>Rt1000_Yr5</vt:lpstr>
      <vt:lpstr>Rt25_Yr1</vt:lpstr>
      <vt:lpstr>Rt25_Yr2</vt:lpstr>
      <vt:lpstr>Rt25_Yr3</vt:lpstr>
      <vt:lpstr>Rt25_Yr4</vt:lpstr>
      <vt:lpstr>Rt25_Yr5</vt:lpstr>
      <vt:lpstr>Rt250_Yr1</vt:lpstr>
      <vt:lpstr>Rt250_Yr2</vt:lpstr>
      <vt:lpstr>Rt250_Yr3</vt:lpstr>
      <vt:lpstr>Rt250_Yr4</vt:lpstr>
      <vt:lpstr>Rt250_Yr5</vt:lpstr>
      <vt:lpstr>Rt50_Yr1</vt:lpstr>
      <vt:lpstr>Rt50_Yr2</vt:lpstr>
      <vt:lpstr>Rt50_Yr3</vt:lpstr>
      <vt:lpstr>Rt50_Yr4</vt:lpstr>
      <vt:lpstr>Rt50_Yr5</vt:lpstr>
      <vt:lpstr>Rt500_Yr1</vt:lpstr>
      <vt:lpstr>Rt500_Yr2</vt:lpstr>
      <vt:lpstr>Rt500_Yr3</vt:lpstr>
      <vt:lpstr>Rt500_Yr4</vt:lpstr>
      <vt:lpstr>Rt500_Yr5</vt:lpstr>
      <vt:lpstr>Rtumlimit_Yr1</vt:lpstr>
      <vt:lpstr>Rtumlimit_Yr2</vt:lpstr>
      <vt:lpstr>Rtumlimit_Yr3</vt:lpstr>
      <vt:lpstr>Rtumlimit_Yr4</vt:lpstr>
      <vt:lpstr>Rtumlimit_Yr5</vt:lpstr>
      <vt:lpstr>Rtunlimit_Yr1</vt:lpstr>
      <vt:lpstr>sigma</vt:lpstr>
      <vt:lpstr>sigma_invest</vt:lpstr>
      <vt:lpstr>total2013</vt:lpstr>
      <vt:lpstr>total2014</vt:lpstr>
      <vt:lpstr>total2015</vt:lpstr>
      <vt:lpstr>total2016</vt:lpstr>
      <vt:lpstr>total2017</vt:lpstr>
      <vt:lpstr>Unlimited_ornot</vt:lpstr>
      <vt:lpstr>var_X</vt:lpstr>
      <vt:lpstr>var_X_invest</vt:lpstr>
      <vt:lpstr>var_X_invest_Yr1</vt:lpstr>
      <vt:lpstr>var_X_invest_Yr2</vt:lpstr>
      <vt:lpstr>var_X_invest_Yr3</vt:lpstr>
      <vt:lpstr>var_X_invest_Yr4</vt:lpstr>
      <vt:lpstr>var_X_invest_Yr5</vt:lpstr>
      <vt:lpstr>xModelPrintArea</vt:lpstr>
      <vt:lpstr>xx</vt:lpstr>
      <vt:lpstr>Y_1</vt:lpstr>
      <vt:lpstr>Y_2</vt:lpstr>
      <vt:lpstr>Y_3</vt:lpstr>
      <vt:lpstr>Y_4</vt:lpstr>
      <vt:lpstr>Y_5</vt:lpstr>
      <vt:lpstr>YA</vt:lpstr>
      <vt:lpstr>YB</vt:lpstr>
      <vt:lpstr>YC</vt:lpstr>
      <vt:lpstr>YD</vt:lpstr>
      <vt:lpstr>YE</vt:lpstr>
      <vt:lpstr>YZ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dell</cp:lastModifiedBy>
  <cp:lastPrinted>2013-09-23T22:49:41Z</cp:lastPrinted>
  <dcterms:created xsi:type="dcterms:W3CDTF">2013-08-05T14:21:32Z</dcterms:created>
  <dcterms:modified xsi:type="dcterms:W3CDTF">2019-10-08T20:59:07Z</dcterms:modified>
</cp:coreProperties>
</file>